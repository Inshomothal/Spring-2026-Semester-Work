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8_{77CAD549-5CE0-4020-A1AE-0EBCD48CE76D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Projections" sheetId="2" r:id="rId1"/>
    <sheet name="breakeven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7" i="3" l="1"/>
  <c r="R28" i="3"/>
  <c r="R31" i="3"/>
  <c r="R32" i="3"/>
  <c r="R33" i="3"/>
  <c r="R36" i="3"/>
  <c r="R40" i="3"/>
  <c r="R41" i="3"/>
  <c r="R44" i="3"/>
  <c r="D9" i="3"/>
  <c r="C71" i="3"/>
  <c r="C72" i="3" s="1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P69" i="3"/>
  <c r="P68" i="3"/>
  <c r="P67" i="3"/>
  <c r="P66" i="3"/>
  <c r="P65" i="3"/>
  <c r="P64" i="3"/>
  <c r="P63" i="3"/>
  <c r="C60" i="3"/>
  <c r="O59" i="3"/>
  <c r="N59" i="3"/>
  <c r="M59" i="3"/>
  <c r="L59" i="3"/>
  <c r="K59" i="3"/>
  <c r="J59" i="3"/>
  <c r="I59" i="3"/>
  <c r="H59" i="3"/>
  <c r="G59" i="3"/>
  <c r="F59" i="3"/>
  <c r="E59" i="3"/>
  <c r="D59" i="3"/>
  <c r="P57" i="3"/>
  <c r="P56" i="3"/>
  <c r="N46" i="3"/>
  <c r="M46" i="3"/>
  <c r="L46" i="3"/>
  <c r="K46" i="3"/>
  <c r="K47" i="3" s="1"/>
  <c r="L58" i="3" s="1"/>
  <c r="L60" i="3" s="1"/>
  <c r="L71" i="3" s="1"/>
  <c r="J46" i="3"/>
  <c r="I46" i="3"/>
  <c r="H46" i="3"/>
  <c r="G46" i="3"/>
  <c r="F46" i="3"/>
  <c r="E46" i="3"/>
  <c r="D46" i="3"/>
  <c r="C46" i="3"/>
  <c r="O45" i="3"/>
  <c r="R45" i="3" s="1"/>
  <c r="O44" i="3"/>
  <c r="O43" i="3"/>
  <c r="R43" i="3" s="1"/>
  <c r="O42" i="3"/>
  <c r="R42" i="3" s="1"/>
  <c r="O41" i="3"/>
  <c r="O40" i="3"/>
  <c r="O39" i="3"/>
  <c r="R39" i="3" s="1"/>
  <c r="O38" i="3"/>
  <c r="R38" i="3" s="1"/>
  <c r="O37" i="3"/>
  <c r="R37" i="3" s="1"/>
  <c r="O36" i="3"/>
  <c r="O35" i="3"/>
  <c r="R35" i="3" s="1"/>
  <c r="O34" i="3"/>
  <c r="R34" i="3" s="1"/>
  <c r="O33" i="3"/>
  <c r="O32" i="3"/>
  <c r="O31" i="3"/>
  <c r="O30" i="3"/>
  <c r="R30" i="3" s="1"/>
  <c r="O29" i="3"/>
  <c r="R29" i="3" s="1"/>
  <c r="O28" i="3"/>
  <c r="O27" i="3"/>
  <c r="O26" i="3"/>
  <c r="R26" i="3" s="1"/>
  <c r="R46" i="3" s="1"/>
  <c r="K23" i="3"/>
  <c r="G23" i="3"/>
  <c r="G47" i="3" s="1"/>
  <c r="H58" i="3" s="1"/>
  <c r="H60" i="3" s="1"/>
  <c r="H71" i="3" s="1"/>
  <c r="C23" i="3"/>
  <c r="N22" i="3"/>
  <c r="N23" i="3" s="1"/>
  <c r="N47" i="3" s="1"/>
  <c r="O58" i="3" s="1"/>
  <c r="M22" i="3"/>
  <c r="M23" i="3" s="1"/>
  <c r="L22" i="3"/>
  <c r="L23" i="3" s="1"/>
  <c r="L47" i="3" s="1"/>
  <c r="M58" i="3" s="1"/>
  <c r="M60" i="3" s="1"/>
  <c r="M71" i="3" s="1"/>
  <c r="K22" i="3"/>
  <c r="J22" i="3"/>
  <c r="J23" i="3" s="1"/>
  <c r="I22" i="3"/>
  <c r="I23" i="3" s="1"/>
  <c r="H22" i="3"/>
  <c r="H23" i="3" s="1"/>
  <c r="H47" i="3" s="1"/>
  <c r="I58" i="3" s="1"/>
  <c r="I60" i="3" s="1"/>
  <c r="I71" i="3" s="1"/>
  <c r="G22" i="3"/>
  <c r="F22" i="3"/>
  <c r="F23" i="3" s="1"/>
  <c r="F47" i="3" s="1"/>
  <c r="G58" i="3" s="1"/>
  <c r="E22" i="3"/>
  <c r="E23" i="3" s="1"/>
  <c r="D22" i="3"/>
  <c r="D23" i="3" s="1"/>
  <c r="D47" i="3" s="1"/>
  <c r="E58" i="3" s="1"/>
  <c r="C22" i="3"/>
  <c r="O20" i="3"/>
  <c r="E8" i="2"/>
  <c r="E9" i="2" s="1"/>
  <c r="F8" i="2"/>
  <c r="F9" i="2" s="1"/>
  <c r="F33" i="2" s="1"/>
  <c r="F44" i="2" s="1"/>
  <c r="F46" i="2" s="1"/>
  <c r="F57" i="2" s="1"/>
  <c r="G8" i="2"/>
  <c r="G9" i="2" s="1"/>
  <c r="H8" i="2"/>
  <c r="H9" i="2" s="1"/>
  <c r="I8" i="2"/>
  <c r="I9" i="2" s="1"/>
  <c r="J8" i="2"/>
  <c r="K8" i="2"/>
  <c r="K9" i="2" s="1"/>
  <c r="L8" i="2"/>
  <c r="L9" i="2" s="1"/>
  <c r="M8" i="2"/>
  <c r="M9" i="2" s="1"/>
  <c r="N8" i="2"/>
  <c r="N9" i="2" s="1"/>
  <c r="N33" i="2" s="1"/>
  <c r="N44" i="2" s="1"/>
  <c r="N46" i="2" s="1"/>
  <c r="N57" i="2" s="1"/>
  <c r="O8" i="2"/>
  <c r="O9" i="2" s="1"/>
  <c r="D8" i="2"/>
  <c r="D9" i="2" s="1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P55" i="2"/>
  <c r="P54" i="2"/>
  <c r="P53" i="2"/>
  <c r="P52" i="2"/>
  <c r="P51" i="2"/>
  <c r="P50" i="2"/>
  <c r="P49" i="2"/>
  <c r="C46" i="2"/>
  <c r="C57" i="2" s="1"/>
  <c r="C58" i="2" s="1"/>
  <c r="O45" i="2"/>
  <c r="N45" i="2"/>
  <c r="M45" i="2"/>
  <c r="L45" i="2"/>
  <c r="K45" i="2"/>
  <c r="J45" i="2"/>
  <c r="I45" i="2"/>
  <c r="H45" i="2"/>
  <c r="G45" i="2"/>
  <c r="F45" i="2"/>
  <c r="E45" i="2"/>
  <c r="D45" i="2"/>
  <c r="P43" i="2"/>
  <c r="P42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J9" i="2"/>
  <c r="J33" i="2" s="1"/>
  <c r="J44" i="2" s="1"/>
  <c r="P6" i="2"/>
  <c r="M33" i="2" l="1"/>
  <c r="M44" i="2" s="1"/>
  <c r="M46" i="2" s="1"/>
  <c r="M57" i="2" s="1"/>
  <c r="E33" i="2"/>
  <c r="E44" i="2" s="1"/>
  <c r="E46" i="2" s="1"/>
  <c r="E57" i="2" s="1"/>
  <c r="I33" i="2"/>
  <c r="I44" i="2" s="1"/>
  <c r="C47" i="3"/>
  <c r="D58" i="3" s="1"/>
  <c r="P59" i="3"/>
  <c r="S39" i="3"/>
  <c r="J47" i="3"/>
  <c r="K58" i="3" s="1"/>
  <c r="K60" i="3" s="1"/>
  <c r="K71" i="3" s="1"/>
  <c r="E60" i="3"/>
  <c r="E71" i="3" s="1"/>
  <c r="P70" i="3"/>
  <c r="I46" i="2"/>
  <c r="I57" i="2" s="1"/>
  <c r="D33" i="2"/>
  <c r="D44" i="2" s="1"/>
  <c r="G60" i="3"/>
  <c r="G71" i="3" s="1"/>
  <c r="O60" i="3"/>
  <c r="O71" i="3" s="1"/>
  <c r="S26" i="3"/>
  <c r="P29" i="3"/>
  <c r="P41" i="3"/>
  <c r="S27" i="3"/>
  <c r="P26" i="3"/>
  <c r="P30" i="3"/>
  <c r="P34" i="3"/>
  <c r="P38" i="3"/>
  <c r="P42" i="3"/>
  <c r="S32" i="3"/>
  <c r="S42" i="3"/>
  <c r="S38" i="3"/>
  <c r="S34" i="3"/>
  <c r="S30" i="3"/>
  <c r="R20" i="3"/>
  <c r="S40" i="3"/>
  <c r="P33" i="3"/>
  <c r="P37" i="3"/>
  <c r="P45" i="3"/>
  <c r="S43" i="3"/>
  <c r="S35" i="3"/>
  <c r="S45" i="3"/>
  <c r="S41" i="3"/>
  <c r="S37" i="3"/>
  <c r="S33" i="3"/>
  <c r="S29" i="3"/>
  <c r="T20" i="3"/>
  <c r="P27" i="3"/>
  <c r="P31" i="3"/>
  <c r="P35" i="3"/>
  <c r="P39" i="3"/>
  <c r="P43" i="3"/>
  <c r="S28" i="3"/>
  <c r="S36" i="3"/>
  <c r="S44" i="3"/>
  <c r="P28" i="3"/>
  <c r="P32" i="3"/>
  <c r="P36" i="3"/>
  <c r="P40" i="3"/>
  <c r="P44" i="3"/>
  <c r="S31" i="3"/>
  <c r="D60" i="3"/>
  <c r="D71" i="3" s="1"/>
  <c r="I47" i="3"/>
  <c r="J58" i="3" s="1"/>
  <c r="J60" i="3" s="1"/>
  <c r="J71" i="3" s="1"/>
  <c r="E47" i="3"/>
  <c r="F58" i="3" s="1"/>
  <c r="F60" i="3" s="1"/>
  <c r="F71" i="3" s="1"/>
  <c r="M47" i="3"/>
  <c r="N58" i="3" s="1"/>
  <c r="N60" i="3" s="1"/>
  <c r="N71" i="3" s="1"/>
  <c r="D72" i="3"/>
  <c r="E72" i="3" s="1"/>
  <c r="O22" i="3"/>
  <c r="O46" i="3"/>
  <c r="Q31" i="2"/>
  <c r="Q12" i="2"/>
  <c r="Q16" i="2"/>
  <c r="Q20" i="2"/>
  <c r="Q24" i="2"/>
  <c r="Q28" i="2"/>
  <c r="L33" i="2"/>
  <c r="L44" i="2" s="1"/>
  <c r="L46" i="2" s="1"/>
  <c r="L57" i="2" s="1"/>
  <c r="H33" i="2"/>
  <c r="H44" i="2" s="1"/>
  <c r="H46" i="2" s="1"/>
  <c r="H57" i="2" s="1"/>
  <c r="J46" i="2"/>
  <c r="J57" i="2" s="1"/>
  <c r="O33" i="2"/>
  <c r="O44" i="2" s="1"/>
  <c r="O46" i="2" s="1"/>
  <c r="O57" i="2" s="1"/>
  <c r="K33" i="2"/>
  <c r="K44" i="2" s="1"/>
  <c r="K46" i="2" s="1"/>
  <c r="K57" i="2" s="1"/>
  <c r="G33" i="2"/>
  <c r="G44" i="2" s="1"/>
  <c r="G46" i="2" s="1"/>
  <c r="G57" i="2" s="1"/>
  <c r="Q14" i="2"/>
  <c r="Q18" i="2"/>
  <c r="Q22" i="2"/>
  <c r="Q26" i="2"/>
  <c r="Q30" i="2"/>
  <c r="P45" i="2"/>
  <c r="P56" i="2"/>
  <c r="P8" i="2"/>
  <c r="Q8" i="2" s="1"/>
  <c r="Q9" i="2" s="1"/>
  <c r="D46" i="2"/>
  <c r="D57" i="2" s="1"/>
  <c r="D58" i="2" s="1"/>
  <c r="E58" i="2" s="1"/>
  <c r="F58" i="2" s="1"/>
  <c r="G58" i="2" s="1"/>
  <c r="H58" i="2" s="1"/>
  <c r="I58" i="2" s="1"/>
  <c r="J58" i="2" s="1"/>
  <c r="Q17" i="2"/>
  <c r="Q21" i="2"/>
  <c r="Q25" i="2"/>
  <c r="P32" i="2"/>
  <c r="Q13" i="2"/>
  <c r="Q15" i="2"/>
  <c r="Q19" i="2"/>
  <c r="Q23" i="2"/>
  <c r="Q27" i="2"/>
  <c r="Q29" i="2"/>
  <c r="K58" i="2" l="1"/>
  <c r="L58" i="2" s="1"/>
  <c r="M58" i="2" s="1"/>
  <c r="N58" i="2" s="1"/>
  <c r="O58" i="2" s="1"/>
  <c r="P46" i="3"/>
  <c r="F72" i="3"/>
  <c r="G72" i="3" s="1"/>
  <c r="H72" i="3" s="1"/>
  <c r="I72" i="3" s="1"/>
  <c r="J72" i="3" s="1"/>
  <c r="K72" i="3" s="1"/>
  <c r="L72" i="3" s="1"/>
  <c r="M72" i="3" s="1"/>
  <c r="N72" i="3" s="1"/>
  <c r="O72" i="3" s="1"/>
  <c r="P71" i="3"/>
  <c r="S46" i="3"/>
  <c r="P60" i="3"/>
  <c r="P58" i="3"/>
  <c r="P22" i="3"/>
  <c r="O23" i="3"/>
  <c r="O47" i="3" s="1"/>
  <c r="P9" i="2"/>
  <c r="P33" i="2" s="1"/>
  <c r="Q32" i="2"/>
  <c r="Q33" i="2" s="1"/>
  <c r="P44" i="2"/>
  <c r="P57" i="2"/>
  <c r="P46" i="2"/>
  <c r="P23" i="3" l="1"/>
  <c r="P47" i="3" s="1"/>
  <c r="R22" i="3"/>
  <c r="S22" i="3" l="1"/>
  <c r="S23" i="3" s="1"/>
  <c r="S47" i="3" s="1"/>
  <c r="R23" i="3"/>
  <c r="R47" i="3" s="1"/>
</calcChain>
</file>

<file path=xl/sharedStrings.xml><?xml version="1.0" encoding="utf-8"?>
<sst xmlns="http://schemas.openxmlformats.org/spreadsheetml/2006/main" count="162" uniqueCount="67">
  <si>
    <t>Projected Profit and Loss Statement</t>
  </si>
  <si>
    <t xml:space="preserve">Oct. </t>
  </si>
  <si>
    <t>Nov.</t>
  </si>
  <si>
    <t>Dec.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</si>
  <si>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</si>
  <si>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</si>
  <si>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</si>
  <si>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</si>
  <si>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</si>
  <si>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</si>
  <si>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</si>
  <si>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</si>
  <si>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</si>
  <si>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</si>
  <si>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%</t>
  </si>
  <si>
    <t>Net sales</t>
  </si>
  <si>
    <t>Less Cost of Sales</t>
  </si>
  <si>
    <t>Gross Profit</t>
  </si>
  <si>
    <t>Expenses</t>
  </si>
  <si>
    <t>Salaries</t>
  </si>
  <si>
    <t>Payroll Taxes</t>
  </si>
  <si>
    <t>Alarm Service</t>
  </si>
  <si>
    <t>Advertising</t>
  </si>
  <si>
    <t>Delivery</t>
  </si>
  <si>
    <t xml:space="preserve">Bad Debts </t>
  </si>
  <si>
    <t>Dues and subscriptions</t>
  </si>
  <si>
    <t>Laundry and Linen</t>
  </si>
  <si>
    <t>Legal and Accounting</t>
  </si>
  <si>
    <t>Office Expenses</t>
  </si>
  <si>
    <t>Repairs and Maintenance</t>
  </si>
  <si>
    <t>Supplies</t>
  </si>
  <si>
    <t>Phone</t>
  </si>
  <si>
    <t>Utilities</t>
  </si>
  <si>
    <t>Miscellaneous</t>
  </si>
  <si>
    <t>Depreciation</t>
  </si>
  <si>
    <t>Insurance</t>
  </si>
  <si>
    <t>Rent</t>
  </si>
  <si>
    <t>Taxes and Licenses</t>
  </si>
  <si>
    <t>Interest</t>
  </si>
  <si>
    <t>Total Expenses</t>
  </si>
  <si>
    <t>Net Profit (Loss)</t>
  </si>
  <si>
    <t>Projected Cash Flow</t>
  </si>
  <si>
    <t>Cash Source</t>
  </si>
  <si>
    <t>Equity</t>
  </si>
  <si>
    <t>Loan</t>
  </si>
  <si>
    <t>Net Profit</t>
  </si>
  <si>
    <t>Pre-</t>
  </si>
  <si>
    <t>Operating</t>
  </si>
  <si>
    <t>Purchase of Business</t>
  </si>
  <si>
    <t>Closing Costs</t>
  </si>
  <si>
    <t>Improvements and Equipment</t>
  </si>
  <si>
    <t>Deposits</t>
  </si>
  <si>
    <t>Loan Payments (Principal)</t>
  </si>
  <si>
    <t>Owners Draw</t>
  </si>
  <si>
    <t>Income Taxes</t>
  </si>
  <si>
    <t>Net Cash Flows</t>
  </si>
  <si>
    <t>Cumulative Cash Flow</t>
  </si>
  <si>
    <t>Rainbow Books</t>
  </si>
  <si>
    <t>Disbursements</t>
  </si>
  <si>
    <t>Breakeven Analysis</t>
  </si>
  <si>
    <t>Assumptions:</t>
  </si>
  <si>
    <t>Cost of sales remains at 75%</t>
  </si>
  <si>
    <t>Remaining expenses stay flat</t>
  </si>
  <si>
    <t>Net sales is the variable item</t>
  </si>
  <si>
    <t>Gross margin is 24%</t>
  </si>
  <si>
    <t>Ave / mo</t>
  </si>
  <si>
    <t>Rainbow Books--SAMPLE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</si>
</sst>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165" fontId="0" fillId="0" borderId="0" xfId="2" applyNumberFormat="1" applyFont="1"/>
    <xf numFmtId="164" fontId="0" fillId="0" borderId="0" xfId="2" applyNumberFormat="1" applyFont="1"/>
    <xf numFmtId="0" fontId="0" fillId="0" borderId="0" xfId="0" applyAlignment="1">
      <alignment wrapText="1"/>
    </xf>
    <xf numFmtId="0" fontId="0" fillId="2" borderId="0" xfId="0" applyFill="1"/>
    <xf numFmtId="164" fontId="0" fillId="2" borderId="0" xfId="1" applyNumberFormat="1" applyFont="1" applyFill="1"/>
    <xf numFmtId="165" fontId="0" fillId="2" borderId="0" xfId="2" applyNumberFormat="1" applyFont="1" applyFill="1"/>
    <xf numFmtId="0" fontId="0" fillId="0" borderId="0" xfId="0" applyFill="1"/>
    <xf numFmtId="164" fontId="0" fillId="0" borderId="0" xfId="1" applyNumberFormat="1" applyFont="1" applyFill="1"/>
    <xf numFmtId="165" fontId="0" fillId="0" borderId="0" xfId="2" applyNumberFormat="1" applyFont="1" applyFill="1"/>
    <xf numFmtId="164" fontId="0" fillId="0" borderId="0" xfId="1" applyNumberFormat="1" applyFont="1" applyBorder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2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1"/>
  <sheetViews>
    <sheetView tabSelected="1" topLeftCell="A32" workbookViewId="0">
      <selection activeCell="C39" sqref="C39"/>
    </sheetView>
  </sheetViews>
  <sheetFormatPr defaultRowHeight="14.5" x14ac:dyDescent="0.35"/>
  <cols>
    <col min="1" max="1" width="3" customWidth="1"/>
    <col min="2" max="2" width="23.7265625" bestFit="1" customWidth="1"/>
    <col min="3" max="4" width="10.54296875" bestFit="1" customWidth="1"/>
    <col min="16" max="16" width="10.1796875" bestFit="1" customWidth="1"/>
  </cols>
  <sheetData>
    <row r="1" spans="1:17" x14ac:dyDescent="0.35">
      <c r="A1" s="17" t="s">
        <v>66</v>
      </c>
    </row>
    <row r="2" spans="1:17" x14ac:dyDescent="0.35">
      <c r="A2" s="16" t="s">
        <v>0</v>
      </c>
    </row>
    <row r="4" spans="1:17" x14ac:dyDescent="0.35">
      <c r="D4" s="18">
        <v>2017</v>
      </c>
      <c r="E4" s="19"/>
      <c r="F4" s="19"/>
      <c r="G4" s="18">
        <v>2018</v>
      </c>
      <c r="H4" s="19"/>
      <c r="I4" s="19"/>
      <c r="J4" s="19"/>
      <c r="K4" s="19"/>
      <c r="L4" s="19"/>
      <c r="M4" s="19"/>
      <c r="N4" s="19"/>
      <c r="O4" s="19"/>
      <c r="P4" s="18"/>
      <c r="Q4" s="18"/>
    </row>
    <row r="5" spans="1:17" x14ac:dyDescent="0.35">
      <c r="D5" s="18" t="s">
        <v>1</v>
      </c>
      <c r="E5" s="18" t="s">
        <v>2</v>
      </c>
      <c r="F5" s="18" t="s">
        <v>3</v>
      </c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10</v>
      </c>
      <c r="N5" s="18" t="s">
        <v>11</v>
      </c>
      <c r="O5" s="18" t="s">
        <v>12</v>
      </c>
      <c r="P5" s="18" t="s">
        <v>13</v>
      </c>
      <c r="Q5" s="18" t="s">
        <v>14</v>
      </c>
    </row>
    <row r="6" spans="1:17" x14ac:dyDescent="0.35">
      <c r="A6" t="s">
        <v>15</v>
      </c>
      <c r="D6" s="20">
        <v>15000</v>
      </c>
      <c r="E6" s="20">
        <v>16000</v>
      </c>
      <c r="F6" s="20">
        <v>19000</v>
      </c>
      <c r="G6" s="20">
        <v>17000</v>
      </c>
      <c r="H6" s="20">
        <v>16000</v>
      </c>
      <c r="I6" s="20">
        <v>17000</v>
      </c>
      <c r="J6" s="20">
        <v>17000</v>
      </c>
      <c r="K6" s="20">
        <v>17000</v>
      </c>
      <c r="L6" s="20">
        <v>18000</v>
      </c>
      <c r="M6" s="20">
        <v>18000</v>
      </c>
      <c r="N6" s="20">
        <v>19000</v>
      </c>
      <c r="O6" s="20">
        <v>19000</v>
      </c>
      <c r="P6" s="20">
        <f>SUM(D6:O6)</f>
        <v>208000</v>
      </c>
      <c r="Q6" s="22">
        <v>1</v>
      </c>
    </row>
    <row r="7" spans="1:17" x14ac:dyDescent="0.35"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2"/>
    </row>
    <row r="8" spans="1:17" x14ac:dyDescent="0.35">
      <c r="A8" t="s">
        <v>16</v>
      </c>
      <c r="D8" s="20">
        <f>+D$6*0.76</f>
        <v>11400</v>
      </c>
      <c r="E8" s="20">
        <f>+E$6*0.76</f>
        <v>12160</v>
      </c>
      <c r="F8" s="20">
        <f>+F$6*0.76</f>
        <v>14440</v>
      </c>
      <c r="G8" s="20">
        <f>+G$6*0.76</f>
        <v>12920</v>
      </c>
      <c r="H8" s="20">
        <f>+H$6*0.76</f>
        <v>12160</v>
      </c>
      <c r="I8" s="20">
        <f>+I$6*0.76</f>
        <v>12920</v>
      </c>
      <c r="J8" s="20">
        <f>+J$6*0.76</f>
        <v>12920</v>
      </c>
      <c r="K8" s="20">
        <f>+K$6*0.76</f>
        <v>12920</v>
      </c>
      <c r="L8" s="20">
        <f>+L$6*0.76</f>
        <v>13680</v>
      </c>
      <c r="M8" s="20">
        <f>+M$6*0.76</f>
        <v>13680</v>
      </c>
      <c r="N8" s="20">
        <f>+N$6*0.76</f>
        <v>14440</v>
      </c>
      <c r="O8" s="20">
        <f>+O$6*0.76</f>
        <v>14440</v>
      </c>
      <c r="P8" s="20">
        <f>SUM(D8:O8)</f>
        <v>158080</v>
      </c>
      <c r="Q8" s="23">
        <f>P8/P6</f>
        <v>0.76</v>
      </c>
    </row>
    <row r="9" spans="1:17" x14ac:dyDescent="0.35">
      <c r="A9" t="s">
        <v>17</v>
      </c>
      <c r="D9" s="20">
        <f>D6-D8</f>
        <v>3600</v>
      </c>
      <c r="E9" s="20">
        <f t="shared" ref="E9:P9" si="0">E6-E8</f>
        <v>3840</v>
      </c>
      <c r="F9" s="20">
        <f t="shared" si="0"/>
        <v>4560</v>
      </c>
      <c r="G9" s="20">
        <f t="shared" si="0"/>
        <v>4080</v>
      </c>
      <c r="H9" s="20">
        <f t="shared" si="0"/>
        <v>3840</v>
      </c>
      <c r="I9" s="20">
        <f t="shared" si="0"/>
        <v>4080</v>
      </c>
      <c r="J9" s="20">
        <f t="shared" si="0"/>
        <v>4080</v>
      </c>
      <c r="K9" s="20">
        <f t="shared" si="0"/>
        <v>4080</v>
      </c>
      <c r="L9" s="20">
        <f t="shared" si="0"/>
        <v>4320</v>
      </c>
      <c r="M9" s="20">
        <f t="shared" si="0"/>
        <v>4320</v>
      </c>
      <c r="N9" s="20">
        <f t="shared" si="0"/>
        <v>4560</v>
      </c>
      <c r="O9" s="20">
        <f t="shared" si="0"/>
        <v>4560</v>
      </c>
      <c r="P9" s="20">
        <f t="shared" si="0"/>
        <v>49920</v>
      </c>
      <c r="Q9" s="23">
        <f>Q6-Q8</f>
        <v>0.24</v>
      </c>
    </row>
    <row r="10" spans="1:17" x14ac:dyDescent="0.35"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2"/>
    </row>
    <row r="11" spans="1:17" x14ac:dyDescent="0.35">
      <c r="B11" t="s">
        <v>18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2"/>
    </row>
    <row r="12" spans="1:17" s="11" customFormat="1" x14ac:dyDescent="0.35">
      <c r="B12" s="11" t="s">
        <v>19</v>
      </c>
      <c r="D12" s="24">
        <v>600</v>
      </c>
      <c r="E12" s="24">
        <v>600</v>
      </c>
      <c r="F12" s="24">
        <v>600</v>
      </c>
      <c r="G12" s="24">
        <v>600</v>
      </c>
      <c r="H12" s="24">
        <v>600</v>
      </c>
      <c r="I12" s="24">
        <v>600</v>
      </c>
      <c r="J12" s="24">
        <v>600</v>
      </c>
      <c r="K12" s="24">
        <v>600</v>
      </c>
      <c r="L12" s="24">
        <v>600</v>
      </c>
      <c r="M12" s="24">
        <v>600</v>
      </c>
      <c r="N12" s="24">
        <v>600</v>
      </c>
      <c r="O12" s="24">
        <v>600</v>
      </c>
      <c r="P12" s="24">
        <f>SUM(D12:O12)</f>
        <v>7200</v>
      </c>
      <c r="Q12" s="25">
        <f>P12/$P$6</f>
        <v>3.4615384615384617E-2</v>
      </c>
    </row>
    <row r="13" spans="1:17" s="11" customFormat="1" x14ac:dyDescent="0.35">
      <c r="B13" s="11" t="s">
        <v>20</v>
      </c>
      <c r="D13" s="24">
        <v>60</v>
      </c>
      <c r="E13" s="24">
        <v>60</v>
      </c>
      <c r="F13" s="24">
        <v>60</v>
      </c>
      <c r="G13" s="24">
        <v>60</v>
      </c>
      <c r="H13" s="24">
        <v>60</v>
      </c>
      <c r="I13" s="24">
        <v>60</v>
      </c>
      <c r="J13" s="24">
        <v>60</v>
      </c>
      <c r="K13" s="24">
        <v>60</v>
      </c>
      <c r="L13" s="24">
        <v>60</v>
      </c>
      <c r="M13" s="24">
        <v>60</v>
      </c>
      <c r="N13" s="24">
        <v>60</v>
      </c>
      <c r="O13" s="24">
        <v>60</v>
      </c>
      <c r="P13" s="24">
        <f t="shared" ref="P13:P30" si="1">SUM(D13:O13)</f>
        <v>720</v>
      </c>
      <c r="Q13" s="25">
        <f>P13/$P$6</f>
        <v>3.4615384615384616E-3</v>
      </c>
    </row>
    <row r="14" spans="1:17" x14ac:dyDescent="0.35">
      <c r="B14" t="s">
        <v>21</v>
      </c>
      <c r="D14" s="20">
        <v>30</v>
      </c>
      <c r="E14" s="20">
        <v>30</v>
      </c>
      <c r="F14" s="20">
        <v>30</v>
      </c>
      <c r="G14" s="20">
        <v>30</v>
      </c>
      <c r="H14" s="20">
        <v>30</v>
      </c>
      <c r="I14" s="20">
        <v>30</v>
      </c>
      <c r="J14" s="20">
        <v>30</v>
      </c>
      <c r="K14" s="20">
        <v>30</v>
      </c>
      <c r="L14" s="20">
        <v>30</v>
      </c>
      <c r="M14" s="20">
        <v>30</v>
      </c>
      <c r="N14" s="20">
        <v>30</v>
      </c>
      <c r="O14" s="20">
        <v>30</v>
      </c>
      <c r="P14" s="20">
        <f t="shared" si="1"/>
        <v>360</v>
      </c>
      <c r="Q14" s="23">
        <f>P14/$P$6</f>
        <v>1.7307692307692308E-3</v>
      </c>
    </row>
    <row r="15" spans="1:17" x14ac:dyDescent="0.35">
      <c r="B15" t="s">
        <v>22</v>
      </c>
      <c r="D15" s="20">
        <v>80</v>
      </c>
      <c r="E15" s="20">
        <v>80</v>
      </c>
      <c r="F15" s="20">
        <v>80</v>
      </c>
      <c r="G15" s="20">
        <v>80</v>
      </c>
      <c r="H15" s="20">
        <v>80</v>
      </c>
      <c r="I15" s="20">
        <v>80</v>
      </c>
      <c r="J15" s="20">
        <v>80</v>
      </c>
      <c r="K15" s="20">
        <v>80</v>
      </c>
      <c r="L15" s="20">
        <v>80</v>
      </c>
      <c r="M15" s="20">
        <v>80</v>
      </c>
      <c r="N15" s="20">
        <v>80</v>
      </c>
      <c r="O15" s="20">
        <v>80</v>
      </c>
      <c r="P15" s="20">
        <f t="shared" si="1"/>
        <v>960</v>
      </c>
      <c r="Q15" s="23">
        <f>P15/$P$6</f>
        <v>4.6153846153846158E-3</v>
      </c>
    </row>
    <row r="16" spans="1:17" s="11" customFormat="1" x14ac:dyDescent="0.35">
      <c r="B16" s="11" t="s">
        <v>23</v>
      </c>
      <c r="D16" s="24">
        <v>20</v>
      </c>
      <c r="E16" s="24">
        <v>20</v>
      </c>
      <c r="F16" s="24">
        <v>20</v>
      </c>
      <c r="G16" s="24">
        <v>20</v>
      </c>
      <c r="H16" s="24">
        <v>20</v>
      </c>
      <c r="I16" s="24">
        <v>20</v>
      </c>
      <c r="J16" s="24">
        <v>20</v>
      </c>
      <c r="K16" s="24">
        <v>20</v>
      </c>
      <c r="L16" s="24">
        <v>20</v>
      </c>
      <c r="M16" s="24">
        <v>20</v>
      </c>
      <c r="N16" s="24">
        <v>20</v>
      </c>
      <c r="O16" s="24">
        <v>20</v>
      </c>
      <c r="P16" s="24">
        <f t="shared" si="1"/>
        <v>240</v>
      </c>
      <c r="Q16" s="25">
        <f>P16/$P$6</f>
        <v>1.153846153846154E-3</v>
      </c>
    </row>
    <row r="17" spans="1:17" s="11" customFormat="1" x14ac:dyDescent="0.35">
      <c r="B17" s="11" t="s">
        <v>24</v>
      </c>
      <c r="D17" s="24">
        <v>20</v>
      </c>
      <c r="E17" s="24">
        <v>20</v>
      </c>
      <c r="F17" s="24">
        <v>20</v>
      </c>
      <c r="G17" s="24">
        <v>20</v>
      </c>
      <c r="H17" s="24">
        <v>20</v>
      </c>
      <c r="I17" s="24">
        <v>20</v>
      </c>
      <c r="J17" s="24">
        <v>20</v>
      </c>
      <c r="K17" s="24">
        <v>20</v>
      </c>
      <c r="L17" s="24">
        <v>20</v>
      </c>
      <c r="M17" s="24">
        <v>20</v>
      </c>
      <c r="N17" s="24">
        <v>20</v>
      </c>
      <c r="O17" s="24">
        <v>20</v>
      </c>
      <c r="P17" s="24">
        <f t="shared" si="1"/>
        <v>240</v>
      </c>
      <c r="Q17" s="25">
        <f>P17/$P$6</f>
        <v>1.153846153846154E-3</v>
      </c>
    </row>
    <row r="18" spans="1:17" x14ac:dyDescent="0.35">
      <c r="B18" t="s">
        <v>25</v>
      </c>
      <c r="D18" s="20">
        <v>10</v>
      </c>
      <c r="E18" s="20">
        <v>10</v>
      </c>
      <c r="F18" s="20">
        <v>10</v>
      </c>
      <c r="G18" s="20">
        <v>10</v>
      </c>
      <c r="H18" s="20">
        <v>10</v>
      </c>
      <c r="I18" s="20">
        <v>10</v>
      </c>
      <c r="J18" s="20">
        <v>10</v>
      </c>
      <c r="K18" s="20">
        <v>10</v>
      </c>
      <c r="L18" s="20">
        <v>10</v>
      </c>
      <c r="M18" s="20">
        <v>10</v>
      </c>
      <c r="N18" s="20">
        <v>10</v>
      </c>
      <c r="O18" s="20">
        <v>10</v>
      </c>
      <c r="P18" s="20">
        <f t="shared" si="1"/>
        <v>120</v>
      </c>
      <c r="Q18" s="23">
        <f>P18/$P$6</f>
        <v>5.7692307692307698E-4</v>
      </c>
    </row>
    <row r="19" spans="1:17" s="11" customFormat="1" x14ac:dyDescent="0.35">
      <c r="B19" s="11" t="s">
        <v>26</v>
      </c>
      <c r="D19" s="24">
        <v>10</v>
      </c>
      <c r="E19" s="24">
        <v>10</v>
      </c>
      <c r="F19" s="24">
        <v>10</v>
      </c>
      <c r="G19" s="24">
        <v>10</v>
      </c>
      <c r="H19" s="24">
        <v>10</v>
      </c>
      <c r="I19" s="24">
        <v>10</v>
      </c>
      <c r="J19" s="24">
        <v>10</v>
      </c>
      <c r="K19" s="24">
        <v>10</v>
      </c>
      <c r="L19" s="24">
        <v>10</v>
      </c>
      <c r="M19" s="24">
        <v>10</v>
      </c>
      <c r="N19" s="24">
        <v>10</v>
      </c>
      <c r="O19" s="24">
        <v>10</v>
      </c>
      <c r="P19" s="24">
        <f t="shared" si="1"/>
        <v>120</v>
      </c>
      <c r="Q19" s="25">
        <f>P19/$P$6</f>
        <v>5.7692307692307698E-4</v>
      </c>
    </row>
    <row r="20" spans="1:17" x14ac:dyDescent="0.35">
      <c r="B20" t="s">
        <v>27</v>
      </c>
      <c r="D20" s="20">
        <v>100</v>
      </c>
      <c r="E20" s="20">
        <v>100</v>
      </c>
      <c r="F20" s="20">
        <v>100</v>
      </c>
      <c r="G20" s="20">
        <v>100</v>
      </c>
      <c r="H20" s="20">
        <v>100</v>
      </c>
      <c r="I20" s="20">
        <v>100</v>
      </c>
      <c r="J20" s="20">
        <v>100</v>
      </c>
      <c r="K20" s="20">
        <v>100</v>
      </c>
      <c r="L20" s="20">
        <v>100</v>
      </c>
      <c r="M20" s="20">
        <v>100</v>
      </c>
      <c r="N20" s="20">
        <v>100</v>
      </c>
      <c r="O20" s="20">
        <v>100</v>
      </c>
      <c r="P20" s="20">
        <f t="shared" si="1"/>
        <v>1200</v>
      </c>
      <c r="Q20" s="23">
        <f>P20/$P$6</f>
        <v>5.7692307692307696E-3</v>
      </c>
    </row>
    <row r="21" spans="1:17" s="11" customFormat="1" x14ac:dyDescent="0.35">
      <c r="B21" s="11" t="s">
        <v>28</v>
      </c>
      <c r="D21" s="24">
        <v>10</v>
      </c>
      <c r="E21" s="24">
        <v>10</v>
      </c>
      <c r="F21" s="24">
        <v>10</v>
      </c>
      <c r="G21" s="24">
        <v>10</v>
      </c>
      <c r="H21" s="24">
        <v>10</v>
      </c>
      <c r="I21" s="24">
        <v>10</v>
      </c>
      <c r="J21" s="24">
        <v>10</v>
      </c>
      <c r="K21" s="24">
        <v>10</v>
      </c>
      <c r="L21" s="24">
        <v>10</v>
      </c>
      <c r="M21" s="24">
        <v>10</v>
      </c>
      <c r="N21" s="24">
        <v>10</v>
      </c>
      <c r="O21" s="24">
        <v>10</v>
      </c>
      <c r="P21" s="24">
        <f t="shared" si="1"/>
        <v>120</v>
      </c>
      <c r="Q21" s="25">
        <f>P21/$P$6</f>
        <v>5.7692307692307698E-4</v>
      </c>
    </row>
    <row r="22" spans="1:17" x14ac:dyDescent="0.35">
      <c r="B22" t="s">
        <v>29</v>
      </c>
      <c r="D22" s="20">
        <v>50</v>
      </c>
      <c r="E22" s="20">
        <v>50</v>
      </c>
      <c r="F22" s="20">
        <v>50</v>
      </c>
      <c r="G22" s="20">
        <v>50</v>
      </c>
      <c r="H22" s="20">
        <v>50</v>
      </c>
      <c r="I22" s="20">
        <v>50</v>
      </c>
      <c r="J22" s="20">
        <v>50</v>
      </c>
      <c r="K22" s="20">
        <v>50</v>
      </c>
      <c r="L22" s="20">
        <v>50</v>
      </c>
      <c r="M22" s="20">
        <v>50</v>
      </c>
      <c r="N22" s="20">
        <v>50</v>
      </c>
      <c r="O22" s="20">
        <v>50</v>
      </c>
      <c r="P22" s="20">
        <f t="shared" si="1"/>
        <v>600</v>
      </c>
      <c r="Q22" s="23">
        <f>P22/$P$6</f>
        <v>2.8846153846153848E-3</v>
      </c>
    </row>
    <row r="23" spans="1:17" x14ac:dyDescent="0.35">
      <c r="B23" t="s">
        <v>30</v>
      </c>
      <c r="D23" s="20">
        <v>35</v>
      </c>
      <c r="E23" s="20">
        <v>35</v>
      </c>
      <c r="F23" s="20">
        <v>35</v>
      </c>
      <c r="G23" s="20">
        <v>35</v>
      </c>
      <c r="H23" s="20">
        <v>35</v>
      </c>
      <c r="I23" s="20">
        <v>35</v>
      </c>
      <c r="J23" s="20">
        <v>35</v>
      </c>
      <c r="K23" s="20">
        <v>35</v>
      </c>
      <c r="L23" s="20">
        <v>35</v>
      </c>
      <c r="M23" s="20">
        <v>35</v>
      </c>
      <c r="N23" s="20">
        <v>35</v>
      </c>
      <c r="O23" s="20">
        <v>35</v>
      </c>
      <c r="P23" s="20">
        <f t="shared" si="1"/>
        <v>420</v>
      </c>
      <c r="Q23" s="23">
        <f>P23/$P$6</f>
        <v>2.0192307692307693E-3</v>
      </c>
    </row>
    <row r="24" spans="1:17" x14ac:dyDescent="0.35">
      <c r="B24" t="s">
        <v>31</v>
      </c>
      <c r="D24" s="20">
        <v>35</v>
      </c>
      <c r="E24" s="20">
        <v>35</v>
      </c>
      <c r="F24" s="20">
        <v>35</v>
      </c>
      <c r="G24" s="20">
        <v>35</v>
      </c>
      <c r="H24" s="20">
        <v>35</v>
      </c>
      <c r="I24" s="20">
        <v>35</v>
      </c>
      <c r="J24" s="20">
        <v>35</v>
      </c>
      <c r="K24" s="20">
        <v>35</v>
      </c>
      <c r="L24" s="20">
        <v>35</v>
      </c>
      <c r="M24" s="20">
        <v>35</v>
      </c>
      <c r="N24" s="20">
        <v>35</v>
      </c>
      <c r="O24" s="20">
        <v>35</v>
      </c>
      <c r="P24" s="20">
        <f t="shared" si="1"/>
        <v>420</v>
      </c>
      <c r="Q24" s="23">
        <f>P24/$P$6</f>
        <v>2.0192307692307693E-3</v>
      </c>
    </row>
    <row r="25" spans="1:17" x14ac:dyDescent="0.35">
      <c r="B25" t="s">
        <v>32</v>
      </c>
      <c r="D25" s="20">
        <v>100</v>
      </c>
      <c r="E25" s="20">
        <v>100</v>
      </c>
      <c r="F25" s="20">
        <v>100</v>
      </c>
      <c r="G25" s="20">
        <v>100</v>
      </c>
      <c r="H25" s="20">
        <v>100</v>
      </c>
      <c r="I25" s="20">
        <v>100</v>
      </c>
      <c r="J25" s="20">
        <v>100</v>
      </c>
      <c r="K25" s="20">
        <v>100</v>
      </c>
      <c r="L25" s="20">
        <v>100</v>
      </c>
      <c r="M25" s="20">
        <v>100</v>
      </c>
      <c r="N25" s="20">
        <v>100</v>
      </c>
      <c r="O25" s="20">
        <v>100</v>
      </c>
      <c r="P25" s="20">
        <f t="shared" si="1"/>
        <v>1200</v>
      </c>
      <c r="Q25" s="23">
        <f>P25/$P$6</f>
        <v>5.7692307692307696E-3</v>
      </c>
    </row>
    <row r="26" spans="1:17" x14ac:dyDescent="0.35">
      <c r="B26" t="s">
        <v>33</v>
      </c>
      <c r="D26" s="20">
        <v>50</v>
      </c>
      <c r="E26" s="20">
        <v>50</v>
      </c>
      <c r="F26" s="20">
        <v>50</v>
      </c>
      <c r="G26" s="20">
        <v>50</v>
      </c>
      <c r="H26" s="20">
        <v>50</v>
      </c>
      <c r="I26" s="20">
        <v>50</v>
      </c>
      <c r="J26" s="20">
        <v>50</v>
      </c>
      <c r="K26" s="20">
        <v>50</v>
      </c>
      <c r="L26" s="20">
        <v>50</v>
      </c>
      <c r="M26" s="20">
        <v>50</v>
      </c>
      <c r="N26" s="20">
        <v>50</v>
      </c>
      <c r="O26" s="20">
        <v>50</v>
      </c>
      <c r="P26" s="20">
        <f t="shared" si="1"/>
        <v>600</v>
      </c>
      <c r="Q26" s="23">
        <f>P26/$P$6</f>
        <v>2.8846153846153848E-3</v>
      </c>
    </row>
    <row r="27" spans="1:17" s="8" customFormat="1" x14ac:dyDescent="0.35">
      <c r="B27" s="8" t="s">
        <v>34</v>
      </c>
      <c r="D27" s="26">
        <v>250</v>
      </c>
      <c r="E27" s="26">
        <v>250</v>
      </c>
      <c r="F27" s="26">
        <v>250</v>
      </c>
      <c r="G27" s="26">
        <v>250</v>
      </c>
      <c r="H27" s="26">
        <v>250</v>
      </c>
      <c r="I27" s="26">
        <v>250</v>
      </c>
      <c r="J27" s="26">
        <v>250</v>
      </c>
      <c r="K27" s="26">
        <v>250</v>
      </c>
      <c r="L27" s="26">
        <v>250</v>
      </c>
      <c r="M27" s="26">
        <v>250</v>
      </c>
      <c r="N27" s="26">
        <v>250</v>
      </c>
      <c r="O27" s="26">
        <v>250</v>
      </c>
      <c r="P27" s="26">
        <f t="shared" si="1"/>
        <v>3000</v>
      </c>
      <c r="Q27" s="27">
        <f>P27/$P$6</f>
        <v>1.4423076923076924E-2</v>
      </c>
    </row>
    <row r="28" spans="1:17" x14ac:dyDescent="0.35">
      <c r="B28" t="s">
        <v>35</v>
      </c>
      <c r="D28" s="20">
        <v>100</v>
      </c>
      <c r="E28" s="20">
        <v>100</v>
      </c>
      <c r="F28" s="20">
        <v>100</v>
      </c>
      <c r="G28" s="20">
        <v>100</v>
      </c>
      <c r="H28" s="20">
        <v>100</v>
      </c>
      <c r="I28" s="20">
        <v>100</v>
      </c>
      <c r="J28" s="20">
        <v>100</v>
      </c>
      <c r="K28" s="20">
        <v>100</v>
      </c>
      <c r="L28" s="20">
        <v>100</v>
      </c>
      <c r="M28" s="20">
        <v>100</v>
      </c>
      <c r="N28" s="20">
        <v>100</v>
      </c>
      <c r="O28" s="20">
        <v>100</v>
      </c>
      <c r="P28" s="20">
        <f t="shared" si="1"/>
        <v>1200</v>
      </c>
      <c r="Q28" s="23">
        <f>P28/$P$6</f>
        <v>5.7692307692307696E-3</v>
      </c>
    </row>
    <row r="29" spans="1:17" x14ac:dyDescent="0.35">
      <c r="B29" t="s">
        <v>36</v>
      </c>
      <c r="D29" s="20">
        <v>300</v>
      </c>
      <c r="E29" s="20">
        <v>300</v>
      </c>
      <c r="F29" s="20">
        <v>300</v>
      </c>
      <c r="G29" s="20">
        <v>300</v>
      </c>
      <c r="H29" s="20">
        <v>300</v>
      </c>
      <c r="I29" s="20">
        <v>300</v>
      </c>
      <c r="J29" s="20">
        <v>300</v>
      </c>
      <c r="K29" s="20">
        <v>300</v>
      </c>
      <c r="L29" s="20">
        <v>300</v>
      </c>
      <c r="M29" s="20">
        <v>300</v>
      </c>
      <c r="N29" s="20">
        <v>300</v>
      </c>
      <c r="O29" s="20">
        <v>300</v>
      </c>
      <c r="P29" s="20">
        <f t="shared" si="1"/>
        <v>3600</v>
      </c>
      <c r="Q29" s="23">
        <f>P29/$P$6</f>
        <v>1.7307692307692309E-2</v>
      </c>
    </row>
    <row r="30" spans="1:17" s="11" customFormat="1" x14ac:dyDescent="0.35">
      <c r="B30" s="11" t="s">
        <v>37</v>
      </c>
      <c r="D30" s="24">
        <v>150</v>
      </c>
      <c r="E30" s="24">
        <v>150</v>
      </c>
      <c r="F30" s="24">
        <v>150</v>
      </c>
      <c r="G30" s="24">
        <v>150</v>
      </c>
      <c r="H30" s="24">
        <v>150</v>
      </c>
      <c r="I30" s="24">
        <v>150</v>
      </c>
      <c r="J30" s="24">
        <v>150</v>
      </c>
      <c r="K30" s="24">
        <v>150</v>
      </c>
      <c r="L30" s="24">
        <v>150</v>
      </c>
      <c r="M30" s="24">
        <v>150</v>
      </c>
      <c r="N30" s="24">
        <v>150</v>
      </c>
      <c r="O30" s="24">
        <v>150</v>
      </c>
      <c r="P30" s="24">
        <f t="shared" si="1"/>
        <v>1800</v>
      </c>
      <c r="Q30" s="25">
        <f>P30/$P$6</f>
        <v>8.6538461538461543E-3</v>
      </c>
    </row>
    <row r="31" spans="1:17" s="11" customFormat="1" x14ac:dyDescent="0.35">
      <c r="B31" s="11" t="s">
        <v>38</v>
      </c>
      <c r="D31" s="24">
        <v>512</v>
      </c>
      <c r="E31" s="24">
        <v>509</v>
      </c>
      <c r="F31" s="24">
        <v>506</v>
      </c>
      <c r="G31" s="24">
        <v>502</v>
      </c>
      <c r="H31" s="24">
        <v>499</v>
      </c>
      <c r="I31" s="24">
        <v>495</v>
      </c>
      <c r="J31" s="24">
        <v>491</v>
      </c>
      <c r="K31" s="24">
        <v>488</v>
      </c>
      <c r="L31" s="24">
        <v>484</v>
      </c>
      <c r="M31" s="24">
        <v>480</v>
      </c>
      <c r="N31" s="24">
        <v>476</v>
      </c>
      <c r="O31" s="24">
        <v>473</v>
      </c>
      <c r="P31" s="24">
        <f>SUM(D31:O31)</f>
        <v>5915</v>
      </c>
      <c r="Q31" s="25">
        <f>P31/$P$6</f>
        <v>2.8437500000000001E-2</v>
      </c>
    </row>
    <row r="32" spans="1:17" x14ac:dyDescent="0.35">
      <c r="A32" t="s">
        <v>39</v>
      </c>
      <c r="D32" s="20">
        <f>SUM(D12:D31)</f>
        <v>2522</v>
      </c>
      <c r="E32" s="20">
        <f t="shared" ref="E32:Q32" si="2">SUM(E12:E31)</f>
        <v>2519</v>
      </c>
      <c r="F32" s="20">
        <f t="shared" si="2"/>
        <v>2516</v>
      </c>
      <c r="G32" s="20">
        <f t="shared" si="2"/>
        <v>2512</v>
      </c>
      <c r="H32" s="20">
        <f t="shared" si="2"/>
        <v>2509</v>
      </c>
      <c r="I32" s="20">
        <f t="shared" si="2"/>
        <v>2505</v>
      </c>
      <c r="J32" s="20">
        <f t="shared" si="2"/>
        <v>2501</v>
      </c>
      <c r="K32" s="20">
        <f t="shared" si="2"/>
        <v>2498</v>
      </c>
      <c r="L32" s="20">
        <f t="shared" si="2"/>
        <v>2494</v>
      </c>
      <c r="M32" s="20">
        <f t="shared" si="2"/>
        <v>2490</v>
      </c>
      <c r="N32" s="20">
        <f t="shared" si="2"/>
        <v>2486</v>
      </c>
      <c r="O32" s="20">
        <f t="shared" si="2"/>
        <v>2483</v>
      </c>
      <c r="P32" s="20">
        <f t="shared" si="2"/>
        <v>30035</v>
      </c>
      <c r="Q32" s="23">
        <f t="shared" si="2"/>
        <v>0.14439903846153845</v>
      </c>
    </row>
    <row r="33" spans="1:17" x14ac:dyDescent="0.35">
      <c r="A33" s="16" t="s">
        <v>40</v>
      </c>
      <c r="D33" s="20">
        <f>D9-D32</f>
        <v>1078</v>
      </c>
      <c r="E33" s="20">
        <f t="shared" ref="E33:P33" si="3">E9-E32</f>
        <v>1321</v>
      </c>
      <c r="F33" s="20">
        <f t="shared" si="3"/>
        <v>2044</v>
      </c>
      <c r="G33" s="20">
        <f t="shared" si="3"/>
        <v>1568</v>
      </c>
      <c r="H33" s="20">
        <f t="shared" si="3"/>
        <v>1331</v>
      </c>
      <c r="I33" s="20">
        <f t="shared" si="3"/>
        <v>1575</v>
      </c>
      <c r="J33" s="20">
        <f t="shared" si="3"/>
        <v>1579</v>
      </c>
      <c r="K33" s="20">
        <f t="shared" si="3"/>
        <v>1582</v>
      </c>
      <c r="L33" s="20">
        <f t="shared" si="3"/>
        <v>1826</v>
      </c>
      <c r="M33" s="20">
        <f t="shared" si="3"/>
        <v>1830</v>
      </c>
      <c r="N33" s="20">
        <f t="shared" si="3"/>
        <v>2074</v>
      </c>
      <c r="O33" s="20">
        <f t="shared" si="3"/>
        <v>2077</v>
      </c>
      <c r="P33" s="20">
        <f t="shared" si="3"/>
        <v>19885</v>
      </c>
      <c r="Q33" s="23">
        <f>Q9-Q32</f>
        <v>9.5600961538461537E-2</v>
      </c>
    </row>
    <row r="34" spans="1:17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7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7" x14ac:dyDescent="0.35">
      <c r="A36" s="17" t="s">
        <v>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7" x14ac:dyDescent="0.35">
      <c r="A37" s="16" t="s">
        <v>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7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7" x14ac:dyDescent="0.35">
      <c r="C39" s="18" t="s">
        <v>46</v>
      </c>
      <c r="D39" s="18">
        <v>2017</v>
      </c>
      <c r="E39" s="19"/>
      <c r="F39" s="19"/>
      <c r="G39" s="18">
        <v>1985</v>
      </c>
      <c r="H39" s="19"/>
      <c r="I39" s="19"/>
      <c r="J39" s="19"/>
      <c r="K39" s="19"/>
      <c r="L39" s="19"/>
      <c r="M39" s="19"/>
      <c r="N39" s="19"/>
      <c r="O39" s="19"/>
      <c r="P39" s="18"/>
    </row>
    <row r="40" spans="1:17" x14ac:dyDescent="0.35">
      <c r="C40" s="18" t="s">
        <v>47</v>
      </c>
      <c r="D40" s="18" t="s">
        <v>1</v>
      </c>
      <c r="E40" s="18" t="s">
        <v>2</v>
      </c>
      <c r="F40" s="18" t="s">
        <v>3</v>
      </c>
      <c r="G40" s="18" t="s">
        <v>4</v>
      </c>
      <c r="H40" s="18" t="s">
        <v>5</v>
      </c>
      <c r="I40" s="18" t="s">
        <v>6</v>
      </c>
      <c r="J40" s="18" t="s">
        <v>7</v>
      </c>
      <c r="K40" s="18" t="s">
        <v>8</v>
      </c>
      <c r="L40" s="18" t="s">
        <v>9</v>
      </c>
      <c r="M40" s="18" t="s">
        <v>10</v>
      </c>
      <c r="N40" s="18" t="s">
        <v>11</v>
      </c>
      <c r="O40" s="18" t="s">
        <v>12</v>
      </c>
      <c r="P40" s="18" t="s">
        <v>13</v>
      </c>
    </row>
    <row r="41" spans="1:17" x14ac:dyDescent="0.35">
      <c r="A41" t="s">
        <v>42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1"/>
    </row>
    <row r="42" spans="1:17" x14ac:dyDescent="0.35">
      <c r="B42" t="s">
        <v>43</v>
      </c>
      <c r="C42" s="20">
        <v>20000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>
        <f t="shared" ref="P42:P45" si="4">SUM(C42:O42)</f>
        <v>20000</v>
      </c>
    </row>
    <row r="43" spans="1:17" x14ac:dyDescent="0.35">
      <c r="B43" t="s">
        <v>44</v>
      </c>
      <c r="C43" s="20">
        <v>60000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1">
        <f t="shared" si="4"/>
        <v>60000</v>
      </c>
    </row>
    <row r="44" spans="1:17" x14ac:dyDescent="0.35">
      <c r="B44" t="s">
        <v>45</v>
      </c>
      <c r="C44" s="20">
        <v>0</v>
      </c>
      <c r="D44" s="20">
        <f>D33</f>
        <v>1078</v>
      </c>
      <c r="E44" s="20">
        <f>E33</f>
        <v>1321</v>
      </c>
      <c r="F44" s="20">
        <f>F33</f>
        <v>2044</v>
      </c>
      <c r="G44" s="20">
        <f>G33</f>
        <v>1568</v>
      </c>
      <c r="H44" s="20">
        <f>H33</f>
        <v>1331</v>
      </c>
      <c r="I44" s="20">
        <f>I33</f>
        <v>1575</v>
      </c>
      <c r="J44" s="20">
        <f>J33</f>
        <v>1579</v>
      </c>
      <c r="K44" s="20">
        <f>K33</f>
        <v>1582</v>
      </c>
      <c r="L44" s="20">
        <f>L33</f>
        <v>1826</v>
      </c>
      <c r="M44" s="20">
        <f>M33</f>
        <v>1830</v>
      </c>
      <c r="N44" s="20">
        <f>N33</f>
        <v>2074</v>
      </c>
      <c r="O44" s="20">
        <f>O33</f>
        <v>2077</v>
      </c>
      <c r="P44" s="21">
        <f t="shared" si="4"/>
        <v>19885</v>
      </c>
    </row>
    <row r="45" spans="1:17" x14ac:dyDescent="0.35">
      <c r="B45" t="s">
        <v>34</v>
      </c>
      <c r="C45" s="20">
        <v>0</v>
      </c>
      <c r="D45" s="20">
        <f>D27</f>
        <v>250</v>
      </c>
      <c r="E45" s="20">
        <f>E27</f>
        <v>250</v>
      </c>
      <c r="F45" s="20">
        <f>F27</f>
        <v>250</v>
      </c>
      <c r="G45" s="20">
        <f>G27</f>
        <v>250</v>
      </c>
      <c r="H45" s="20">
        <f>H27</f>
        <v>250</v>
      </c>
      <c r="I45" s="20">
        <f>I27</f>
        <v>250</v>
      </c>
      <c r="J45" s="20">
        <f>J27</f>
        <v>250</v>
      </c>
      <c r="K45" s="20">
        <f>K27</f>
        <v>250</v>
      </c>
      <c r="L45" s="20">
        <f>L27</f>
        <v>250</v>
      </c>
      <c r="M45" s="20">
        <f>M27</f>
        <v>250</v>
      </c>
      <c r="N45" s="20">
        <f>N27</f>
        <v>250</v>
      </c>
      <c r="O45" s="20">
        <f>O27</f>
        <v>250</v>
      </c>
      <c r="P45" s="21">
        <f t="shared" si="4"/>
        <v>3000</v>
      </c>
    </row>
    <row r="46" spans="1:17" x14ac:dyDescent="0.35">
      <c r="A46" t="s">
        <v>13</v>
      </c>
      <c r="C46" s="20">
        <f>SUM(C42:C45)</f>
        <v>80000</v>
      </c>
      <c r="D46" s="20">
        <f t="shared" ref="D46:O46" si="5">SUM(D42:D45)</f>
        <v>1328</v>
      </c>
      <c r="E46" s="20">
        <f t="shared" si="5"/>
        <v>1571</v>
      </c>
      <c r="F46" s="20">
        <f t="shared" si="5"/>
        <v>2294</v>
      </c>
      <c r="G46" s="20">
        <f t="shared" si="5"/>
        <v>1818</v>
      </c>
      <c r="H46" s="20">
        <f t="shared" si="5"/>
        <v>1581</v>
      </c>
      <c r="I46" s="20">
        <f t="shared" si="5"/>
        <v>1825</v>
      </c>
      <c r="J46" s="20">
        <f t="shared" si="5"/>
        <v>1829</v>
      </c>
      <c r="K46" s="20">
        <f t="shared" si="5"/>
        <v>1832</v>
      </c>
      <c r="L46" s="20">
        <f t="shared" si="5"/>
        <v>2076</v>
      </c>
      <c r="M46" s="20">
        <f t="shared" si="5"/>
        <v>2080</v>
      </c>
      <c r="N46" s="20">
        <f t="shared" si="5"/>
        <v>2324</v>
      </c>
      <c r="O46" s="20">
        <f t="shared" si="5"/>
        <v>2327</v>
      </c>
      <c r="P46" s="21">
        <f>SUM(C46:O46)</f>
        <v>102885</v>
      </c>
    </row>
    <row r="47" spans="1:17" x14ac:dyDescent="0.35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2"/>
    </row>
    <row r="48" spans="1:17" x14ac:dyDescent="0.35">
      <c r="A48" t="s">
        <v>58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2"/>
    </row>
    <row r="49" spans="1:16" x14ac:dyDescent="0.35">
      <c r="B49" s="7" t="s">
        <v>48</v>
      </c>
      <c r="C49" s="20">
        <v>58000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>
        <f>SUM(C49:O49)</f>
        <v>58000</v>
      </c>
    </row>
    <row r="50" spans="1:16" x14ac:dyDescent="0.35">
      <c r="B50" s="7" t="s">
        <v>49</v>
      </c>
      <c r="C50" s="20">
        <v>1200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1">
        <f t="shared" ref="P50:P57" si="6">SUM(C50:O50)</f>
        <v>1200</v>
      </c>
    </row>
    <row r="51" spans="1:16" ht="29" x14ac:dyDescent="0.35">
      <c r="B51" s="7" t="s">
        <v>50</v>
      </c>
      <c r="C51" s="20">
        <v>15000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1">
        <f t="shared" si="6"/>
        <v>15000</v>
      </c>
    </row>
    <row r="52" spans="1:16" x14ac:dyDescent="0.35">
      <c r="B52" s="7" t="s">
        <v>51</v>
      </c>
      <c r="C52" s="20">
        <v>1300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>
        <f t="shared" si="6"/>
        <v>1300</v>
      </c>
    </row>
    <row r="53" spans="1:16" x14ac:dyDescent="0.35">
      <c r="B53" s="7" t="s">
        <v>52</v>
      </c>
      <c r="C53" s="20">
        <v>0</v>
      </c>
      <c r="D53" s="20">
        <v>406</v>
      </c>
      <c r="E53" s="20">
        <v>410</v>
      </c>
      <c r="F53" s="20">
        <v>413</v>
      </c>
      <c r="G53" s="20">
        <v>416</v>
      </c>
      <c r="H53" s="20">
        <v>420</v>
      </c>
      <c r="I53" s="20">
        <v>424</v>
      </c>
      <c r="J53" s="20">
        <v>427</v>
      </c>
      <c r="K53" s="20">
        <v>431</v>
      </c>
      <c r="L53" s="20">
        <v>434</v>
      </c>
      <c r="M53" s="20">
        <v>439</v>
      </c>
      <c r="N53" s="20">
        <v>442</v>
      </c>
      <c r="O53" s="20">
        <v>446</v>
      </c>
      <c r="P53" s="21">
        <f t="shared" si="6"/>
        <v>5108</v>
      </c>
    </row>
    <row r="54" spans="1:16" x14ac:dyDescent="0.35">
      <c r="B54" s="7" t="s">
        <v>53</v>
      </c>
      <c r="C54" s="20">
        <v>0</v>
      </c>
      <c r="D54" s="20">
        <v>1000</v>
      </c>
      <c r="E54" s="20">
        <v>1000</v>
      </c>
      <c r="F54" s="20">
        <v>1200</v>
      </c>
      <c r="G54" s="20">
        <v>1200</v>
      </c>
      <c r="H54" s="20">
        <v>1200</v>
      </c>
      <c r="I54" s="20">
        <v>1200</v>
      </c>
      <c r="J54" s="20">
        <v>1200</v>
      </c>
      <c r="K54" s="20">
        <v>1200</v>
      </c>
      <c r="L54" s="20">
        <v>1200</v>
      </c>
      <c r="M54" s="20">
        <v>1200</v>
      </c>
      <c r="N54" s="20">
        <v>1200</v>
      </c>
      <c r="O54" s="20">
        <v>1200</v>
      </c>
      <c r="P54" s="21">
        <f t="shared" si="6"/>
        <v>14000</v>
      </c>
    </row>
    <row r="55" spans="1:16" x14ac:dyDescent="0.35">
      <c r="B55" s="7" t="s">
        <v>54</v>
      </c>
      <c r="C55" s="20">
        <v>0</v>
      </c>
      <c r="D55" s="20"/>
      <c r="E55" s="20"/>
      <c r="F55" s="20"/>
      <c r="G55" s="20"/>
      <c r="H55" s="20"/>
      <c r="I55" s="20"/>
      <c r="J55" s="20">
        <v>1000</v>
      </c>
      <c r="K55" s="20"/>
      <c r="L55" s="20"/>
      <c r="M55" s="20"/>
      <c r="N55" s="20"/>
      <c r="O55" s="20"/>
      <c r="P55" s="21">
        <f t="shared" si="6"/>
        <v>1000</v>
      </c>
    </row>
    <row r="56" spans="1:16" x14ac:dyDescent="0.35">
      <c r="A56" t="s">
        <v>13</v>
      </c>
      <c r="C56" s="20">
        <f>SUM(C49:C55)</f>
        <v>75500</v>
      </c>
      <c r="D56" s="20">
        <f t="shared" ref="D56:O56" si="7">SUM(D49:D55)</f>
        <v>1406</v>
      </c>
      <c r="E56" s="20">
        <f t="shared" si="7"/>
        <v>1410</v>
      </c>
      <c r="F56" s="20">
        <f t="shared" si="7"/>
        <v>1613</v>
      </c>
      <c r="G56" s="20">
        <f t="shared" si="7"/>
        <v>1616</v>
      </c>
      <c r="H56" s="20">
        <f t="shared" si="7"/>
        <v>1620</v>
      </c>
      <c r="I56" s="20">
        <f t="shared" si="7"/>
        <v>1624</v>
      </c>
      <c r="J56" s="20">
        <f t="shared" si="7"/>
        <v>2627</v>
      </c>
      <c r="K56" s="20">
        <f t="shared" si="7"/>
        <v>1631</v>
      </c>
      <c r="L56" s="20">
        <f t="shared" si="7"/>
        <v>1634</v>
      </c>
      <c r="M56" s="20">
        <f t="shared" si="7"/>
        <v>1639</v>
      </c>
      <c r="N56" s="20">
        <f t="shared" si="7"/>
        <v>1642</v>
      </c>
      <c r="O56" s="20">
        <f t="shared" si="7"/>
        <v>1646</v>
      </c>
      <c r="P56" s="21">
        <f t="shared" si="6"/>
        <v>95608</v>
      </c>
    </row>
    <row r="57" spans="1:16" x14ac:dyDescent="0.35">
      <c r="A57" t="s">
        <v>55</v>
      </c>
      <c r="C57" s="20">
        <f>C46-C56</f>
        <v>4500</v>
      </c>
      <c r="D57" s="20">
        <f t="shared" ref="D57:O57" si="8">D46-D56</f>
        <v>-78</v>
      </c>
      <c r="E57" s="20">
        <f t="shared" si="8"/>
        <v>161</v>
      </c>
      <c r="F57" s="20">
        <f t="shared" si="8"/>
        <v>681</v>
      </c>
      <c r="G57" s="20">
        <f t="shared" si="8"/>
        <v>202</v>
      </c>
      <c r="H57" s="20">
        <f t="shared" si="8"/>
        <v>-39</v>
      </c>
      <c r="I57" s="20">
        <f t="shared" si="8"/>
        <v>201</v>
      </c>
      <c r="J57" s="20">
        <f t="shared" si="8"/>
        <v>-798</v>
      </c>
      <c r="K57" s="20">
        <f t="shared" si="8"/>
        <v>201</v>
      </c>
      <c r="L57" s="20">
        <f t="shared" si="8"/>
        <v>442</v>
      </c>
      <c r="M57" s="20">
        <f t="shared" si="8"/>
        <v>441</v>
      </c>
      <c r="N57" s="20">
        <f t="shared" si="8"/>
        <v>682</v>
      </c>
      <c r="O57" s="20">
        <f t="shared" si="8"/>
        <v>681</v>
      </c>
      <c r="P57" s="21">
        <f t="shared" si="6"/>
        <v>7277</v>
      </c>
    </row>
    <row r="58" spans="1:16" x14ac:dyDescent="0.35">
      <c r="A58" s="16" t="s">
        <v>56</v>
      </c>
      <c r="C58" s="20">
        <f>C57</f>
        <v>4500</v>
      </c>
      <c r="D58" s="20">
        <f>C58+D57</f>
        <v>4422</v>
      </c>
      <c r="E58" s="20">
        <f t="shared" ref="E58:O58" si="9">D58+E57</f>
        <v>4583</v>
      </c>
      <c r="F58" s="20">
        <f t="shared" si="9"/>
        <v>5264</v>
      </c>
      <c r="G58" s="20">
        <f t="shared" si="9"/>
        <v>5466</v>
      </c>
      <c r="H58" s="20">
        <f t="shared" si="9"/>
        <v>5427</v>
      </c>
      <c r="I58" s="20">
        <f t="shared" si="9"/>
        <v>5628</v>
      </c>
      <c r="J58" s="20">
        <f t="shared" si="9"/>
        <v>4830</v>
      </c>
      <c r="K58" s="20">
        <f t="shared" si="9"/>
        <v>5031</v>
      </c>
      <c r="L58" s="20">
        <f t="shared" si="9"/>
        <v>5473</v>
      </c>
      <c r="M58" s="20">
        <f t="shared" si="9"/>
        <v>5914</v>
      </c>
      <c r="N58" s="20">
        <f t="shared" si="9"/>
        <v>6596</v>
      </c>
      <c r="O58" s="20">
        <f t="shared" si="9"/>
        <v>7277</v>
      </c>
      <c r="P58" s="22"/>
    </row>
    <row r="59" spans="1:16" x14ac:dyDescent="0.35"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x14ac:dyDescent="0.35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</row>
    <row r="61" spans="1:16" x14ac:dyDescent="0.3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</row>
    <row r="62" spans="1:16" x14ac:dyDescent="0.35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x14ac:dyDescent="0.35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x14ac:dyDescent="0.35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3:16" x14ac:dyDescent="0.3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3:16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</row>
    <row r="67" spans="3:16" x14ac:dyDescent="0.35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3:16" x14ac:dyDescent="0.35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</row>
    <row r="69" spans="3:16" x14ac:dyDescent="0.3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</row>
    <row r="70" spans="3:16" x14ac:dyDescent="0.35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</row>
    <row r="71" spans="3:16" x14ac:dyDescent="0.35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</row>
    <row r="72" spans="3:16" x14ac:dyDescent="0.35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</row>
    <row r="73" spans="3:16" x14ac:dyDescent="0.3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</row>
    <row r="74" spans="3:16" x14ac:dyDescent="0.3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</row>
    <row r="75" spans="3:16" x14ac:dyDescent="0.3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</row>
    <row r="76" spans="3:16" x14ac:dyDescent="0.3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</row>
    <row r="77" spans="3:16" x14ac:dyDescent="0.3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</row>
    <row r="78" spans="3:16" x14ac:dyDescent="0.3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</row>
    <row r="79" spans="3:16" x14ac:dyDescent="0.3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3:16" x14ac:dyDescent="0.35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3:16" x14ac:dyDescent="0.3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</row>
    <row r="82" spans="3:16" x14ac:dyDescent="0.3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3:16" x14ac:dyDescent="0.3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</row>
    <row r="84" spans="3:16" x14ac:dyDescent="0.3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</row>
    <row r="85" spans="3:16" x14ac:dyDescent="0.3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</row>
    <row r="86" spans="3:16" x14ac:dyDescent="0.3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3:16" x14ac:dyDescent="0.3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3:16" x14ac:dyDescent="0.3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3:16" x14ac:dyDescent="0.3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</row>
    <row r="90" spans="3:16" x14ac:dyDescent="0.3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</row>
    <row r="91" spans="3:16" x14ac:dyDescent="0.3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</row>
    <row r="92" spans="3:16" x14ac:dyDescent="0.3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3:16" x14ac:dyDescent="0.3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</row>
    <row r="94" spans="3:16" x14ac:dyDescent="0.3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</row>
    <row r="95" spans="3:16" x14ac:dyDescent="0.3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</row>
    <row r="96" spans="3:16" x14ac:dyDescent="0.3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</row>
    <row r="97" spans="3:16" x14ac:dyDescent="0.3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</row>
    <row r="98" spans="3:16" x14ac:dyDescent="0.3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3:16" x14ac:dyDescent="0.3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</row>
    <row r="100" spans="3:16" x14ac:dyDescent="0.3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</row>
    <row r="101" spans="3:16" x14ac:dyDescent="0.3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</row>
    <row r="102" spans="3:16" x14ac:dyDescent="0.3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</row>
    <row r="103" spans="3:16" x14ac:dyDescent="0.3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</row>
    <row r="104" spans="3:16" x14ac:dyDescent="0.3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</row>
    <row r="105" spans="3:16" x14ac:dyDescent="0.3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</row>
    <row r="106" spans="3:16" x14ac:dyDescent="0.3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</row>
    <row r="107" spans="3:16" x14ac:dyDescent="0.3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</row>
    <row r="108" spans="3:16" x14ac:dyDescent="0.3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</row>
    <row r="109" spans="3:16" x14ac:dyDescent="0.3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</row>
    <row r="110" spans="3:16" x14ac:dyDescent="0.3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</row>
    <row r="111" spans="3:16" x14ac:dyDescent="0.3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</row>
    <row r="112" spans="3:16" x14ac:dyDescent="0.3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</row>
    <row r="113" spans="3:16" x14ac:dyDescent="0.3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</row>
    <row r="114" spans="3:16" x14ac:dyDescent="0.3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</row>
    <row r="115" spans="3:16" x14ac:dyDescent="0.3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</row>
    <row r="116" spans="3:16" x14ac:dyDescent="0.3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</row>
    <row r="117" spans="3:16" x14ac:dyDescent="0.3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</row>
    <row r="118" spans="3:16" x14ac:dyDescent="0.3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</row>
    <row r="119" spans="3:16" x14ac:dyDescent="0.3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</row>
    <row r="120" spans="3:16" x14ac:dyDescent="0.3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</row>
    <row r="121" spans="3:16" x14ac:dyDescent="0.3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</row>
    <row r="122" spans="3:16" x14ac:dyDescent="0.3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</row>
    <row r="123" spans="3:16" x14ac:dyDescent="0.3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</row>
    <row r="124" spans="3:16" x14ac:dyDescent="0.3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</row>
    <row r="125" spans="3:16" x14ac:dyDescent="0.3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</row>
    <row r="126" spans="3:16" x14ac:dyDescent="0.3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</row>
    <row r="127" spans="3:16" x14ac:dyDescent="0.3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</row>
    <row r="128" spans="3:16" x14ac:dyDescent="0.3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</row>
    <row r="129" spans="3:16" x14ac:dyDescent="0.3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</row>
    <row r="130" spans="3:16" x14ac:dyDescent="0.3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</row>
    <row r="131" spans="3:16" x14ac:dyDescent="0.3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</row>
    <row r="132" spans="3:16" x14ac:dyDescent="0.3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</row>
    <row r="133" spans="3:16" x14ac:dyDescent="0.3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</row>
    <row r="134" spans="3:16" x14ac:dyDescent="0.3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</row>
    <row r="135" spans="3:16" x14ac:dyDescent="0.3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</row>
    <row r="136" spans="3:16" x14ac:dyDescent="0.3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</row>
    <row r="137" spans="3:16" x14ac:dyDescent="0.3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</row>
    <row r="138" spans="3:16" x14ac:dyDescent="0.3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</row>
    <row r="139" spans="3:16" x14ac:dyDescent="0.3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</row>
    <row r="140" spans="3:16" x14ac:dyDescent="0.3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</row>
    <row r="141" spans="3:16" x14ac:dyDescent="0.3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</row>
    <row r="142" spans="3:16" x14ac:dyDescent="0.3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</row>
    <row r="143" spans="3:16" x14ac:dyDescent="0.3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</row>
    <row r="144" spans="3:16" x14ac:dyDescent="0.3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</row>
    <row r="145" spans="3:16" x14ac:dyDescent="0.3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</row>
    <row r="146" spans="3:16" x14ac:dyDescent="0.3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</row>
    <row r="147" spans="3:16" x14ac:dyDescent="0.3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</row>
    <row r="148" spans="3:16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4"/>
    </row>
    <row r="149" spans="3:16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4"/>
    </row>
    <row r="150" spans="3:16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4"/>
    </row>
    <row r="151" spans="3:16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</sheetData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65"/>
  <sheetViews>
    <sheetView topLeftCell="A37" workbookViewId="0"/>
  </sheetViews>
  <sheetFormatPr defaultRowHeight="14.5" x14ac:dyDescent="0.35"/>
  <cols>
    <col min="1" max="1" width="3" customWidth="1"/>
    <col min="2" max="2" width="17.453125" customWidth="1"/>
    <col min="3" max="4" width="10.54296875" bestFit="1" customWidth="1"/>
    <col min="16" max="16" width="10.1796875" bestFit="1" customWidth="1"/>
    <col min="20" max="20" width="10.54296875" bestFit="1" customWidth="1"/>
  </cols>
  <sheetData>
    <row r="1" spans="1:4" x14ac:dyDescent="0.35">
      <c r="A1" s="17" t="s">
        <v>57</v>
      </c>
      <c r="B1" s="17"/>
    </row>
    <row r="2" spans="1:4" x14ac:dyDescent="0.35">
      <c r="A2" s="16" t="s">
        <v>59</v>
      </c>
      <c r="B2" s="16"/>
    </row>
    <row r="3" spans="1:4" x14ac:dyDescent="0.35">
      <c r="B3" t="s">
        <v>60</v>
      </c>
    </row>
    <row r="4" spans="1:4" x14ac:dyDescent="0.35">
      <c r="B4" t="s">
        <v>61</v>
      </c>
    </row>
    <row r="5" spans="1:4" x14ac:dyDescent="0.35">
      <c r="B5" t="s">
        <v>62</v>
      </c>
    </row>
    <row r="6" spans="1:4" x14ac:dyDescent="0.35">
      <c r="B6" t="s">
        <v>63</v>
      </c>
    </row>
    <row r="8" spans="1:4" x14ac:dyDescent="0.35">
      <c r="B8" t="s">
        <v>64</v>
      </c>
    </row>
    <row r="9" spans="1:4" x14ac:dyDescent="0.35">
      <c r="D9">
        <f>20000/0.24</f>
        <v>83333.333333333343</v>
      </c>
    </row>
    <row r="15" spans="1:4" s="17" customFormat="1" x14ac:dyDescent="0.35">
      <c r="A15" s="17" t="s">
        <v>57</v>
      </c>
    </row>
    <row r="16" spans="1:4" x14ac:dyDescent="0.35">
      <c r="A16" s="16" t="s">
        <v>0</v>
      </c>
      <c r="B16" s="16"/>
      <c r="C16" s="16"/>
      <c r="D16" s="16"/>
    </row>
    <row r="18" spans="1:20" x14ac:dyDescent="0.35">
      <c r="C18">
        <v>2017</v>
      </c>
      <c r="D18" s="1"/>
      <c r="E18" s="1"/>
      <c r="F18">
        <v>2018</v>
      </c>
      <c r="G18" s="1"/>
      <c r="H18" s="1"/>
      <c r="I18" s="1"/>
      <c r="J18" s="1"/>
      <c r="K18" s="1"/>
      <c r="L18" s="1"/>
      <c r="M18" s="1"/>
      <c r="N18" s="1"/>
    </row>
    <row r="19" spans="1:20" x14ac:dyDescent="0.35"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R19" t="s">
        <v>13</v>
      </c>
      <c r="S19" t="s">
        <v>14</v>
      </c>
      <c r="T19" t="s">
        <v>65</v>
      </c>
    </row>
    <row r="20" spans="1:20" x14ac:dyDescent="0.35">
      <c r="A20" t="s">
        <v>15</v>
      </c>
      <c r="C20" s="3">
        <v>15000</v>
      </c>
      <c r="D20" s="3">
        <v>16000</v>
      </c>
      <c r="E20" s="3">
        <v>19000</v>
      </c>
      <c r="F20" s="3">
        <v>17000</v>
      </c>
      <c r="G20" s="3">
        <v>16000</v>
      </c>
      <c r="H20" s="3">
        <v>17000</v>
      </c>
      <c r="I20" s="3">
        <v>17000</v>
      </c>
      <c r="J20" s="3">
        <v>17000</v>
      </c>
      <c r="K20" s="3">
        <v>18000</v>
      </c>
      <c r="L20" s="3">
        <v>18000</v>
      </c>
      <c r="M20" s="3">
        <v>19000</v>
      </c>
      <c r="N20" s="3">
        <v>19000</v>
      </c>
      <c r="O20" s="3">
        <f>SUM(C20:N20)</f>
        <v>208000</v>
      </c>
      <c r="P20" s="4">
        <v>1</v>
      </c>
      <c r="R20" s="3">
        <f>+O20-83000</f>
        <v>125000</v>
      </c>
      <c r="S20" s="4">
        <v>1</v>
      </c>
      <c r="T20" s="3">
        <f>+R20/12</f>
        <v>10416.666666666666</v>
      </c>
    </row>
    <row r="21" spans="1:20" x14ac:dyDescent="0.3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R21" s="3"/>
      <c r="S21" s="4"/>
    </row>
    <row r="22" spans="1:20" x14ac:dyDescent="0.35">
      <c r="A22" t="s">
        <v>16</v>
      </c>
      <c r="C22" s="3">
        <f>+C$20*0.76</f>
        <v>11400</v>
      </c>
      <c r="D22" s="3">
        <f t="shared" ref="D22:N22" si="0">+D$20*0.76</f>
        <v>12160</v>
      </c>
      <c r="E22" s="3">
        <f t="shared" si="0"/>
        <v>14440</v>
      </c>
      <c r="F22" s="3">
        <f t="shared" si="0"/>
        <v>12920</v>
      </c>
      <c r="G22" s="3">
        <f t="shared" si="0"/>
        <v>12160</v>
      </c>
      <c r="H22" s="3">
        <f t="shared" si="0"/>
        <v>12920</v>
      </c>
      <c r="I22" s="3">
        <f t="shared" si="0"/>
        <v>12920</v>
      </c>
      <c r="J22" s="3">
        <f t="shared" si="0"/>
        <v>12920</v>
      </c>
      <c r="K22" s="3">
        <f t="shared" si="0"/>
        <v>13680</v>
      </c>
      <c r="L22" s="3">
        <f t="shared" si="0"/>
        <v>13680</v>
      </c>
      <c r="M22" s="3">
        <f t="shared" si="0"/>
        <v>14440</v>
      </c>
      <c r="N22" s="3">
        <f t="shared" si="0"/>
        <v>14440</v>
      </c>
      <c r="O22" s="3">
        <f>SUM(C22:N22)</f>
        <v>158080</v>
      </c>
      <c r="P22" s="5">
        <f>O22/O20</f>
        <v>0.76</v>
      </c>
      <c r="R22" s="3">
        <f>+R20*P22</f>
        <v>95000</v>
      </c>
      <c r="S22" s="5">
        <f>R22/R20</f>
        <v>0.76</v>
      </c>
    </row>
    <row r="23" spans="1:20" x14ac:dyDescent="0.35">
      <c r="A23" t="s">
        <v>17</v>
      </c>
      <c r="C23" s="3">
        <f>C20-C22</f>
        <v>3600</v>
      </c>
      <c r="D23" s="3">
        <f t="shared" ref="D23:O23" si="1">D20-D22</f>
        <v>3840</v>
      </c>
      <c r="E23" s="3">
        <f t="shared" si="1"/>
        <v>4560</v>
      </c>
      <c r="F23" s="3">
        <f t="shared" si="1"/>
        <v>4080</v>
      </c>
      <c r="G23" s="3">
        <f t="shared" si="1"/>
        <v>3840</v>
      </c>
      <c r="H23" s="3">
        <f t="shared" si="1"/>
        <v>4080</v>
      </c>
      <c r="I23" s="3">
        <f t="shared" si="1"/>
        <v>4080</v>
      </c>
      <c r="J23" s="3">
        <f t="shared" si="1"/>
        <v>4080</v>
      </c>
      <c r="K23" s="3">
        <f t="shared" si="1"/>
        <v>4320</v>
      </c>
      <c r="L23" s="3">
        <f t="shared" si="1"/>
        <v>4320</v>
      </c>
      <c r="M23" s="3">
        <f t="shared" si="1"/>
        <v>4560</v>
      </c>
      <c r="N23" s="3">
        <f t="shared" si="1"/>
        <v>4560</v>
      </c>
      <c r="O23" s="3">
        <f t="shared" si="1"/>
        <v>49920</v>
      </c>
      <c r="P23" s="5">
        <f>P20-P22</f>
        <v>0.24</v>
      </c>
      <c r="R23" s="3">
        <f t="shared" ref="R23" si="2">R20-R22</f>
        <v>30000</v>
      </c>
      <c r="S23" s="5">
        <f>S20-S22</f>
        <v>0.24</v>
      </c>
    </row>
    <row r="24" spans="1:20" x14ac:dyDescent="0.3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R24" s="3"/>
      <c r="S24" s="4"/>
    </row>
    <row r="25" spans="1:20" x14ac:dyDescent="0.35">
      <c r="B25" t="s">
        <v>18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R25" s="3"/>
      <c r="S25" s="4"/>
    </row>
    <row r="26" spans="1:20" s="11" customFormat="1" x14ac:dyDescent="0.35">
      <c r="B26" s="11" t="s">
        <v>19</v>
      </c>
      <c r="C26" s="12">
        <v>600</v>
      </c>
      <c r="D26" s="12">
        <v>600</v>
      </c>
      <c r="E26" s="12">
        <v>600</v>
      </c>
      <c r="F26" s="12">
        <v>600</v>
      </c>
      <c r="G26" s="12">
        <v>600</v>
      </c>
      <c r="H26" s="12">
        <v>600</v>
      </c>
      <c r="I26" s="12">
        <v>600</v>
      </c>
      <c r="J26" s="12">
        <v>600</v>
      </c>
      <c r="K26" s="12">
        <v>600</v>
      </c>
      <c r="L26" s="12">
        <v>600</v>
      </c>
      <c r="M26" s="12">
        <v>600</v>
      </c>
      <c r="N26" s="12">
        <v>600</v>
      </c>
      <c r="O26" s="12">
        <f>SUM(C26:N26)</f>
        <v>7200</v>
      </c>
      <c r="P26" s="13">
        <f>O26/$O$20</f>
        <v>3.4615384615384617E-2</v>
      </c>
      <c r="R26" s="12">
        <f>+O26</f>
        <v>7200</v>
      </c>
      <c r="S26" s="13">
        <f>R26/$O$20</f>
        <v>3.4615384615384617E-2</v>
      </c>
    </row>
    <row r="27" spans="1:20" s="11" customFormat="1" x14ac:dyDescent="0.35">
      <c r="B27" s="11" t="s">
        <v>20</v>
      </c>
      <c r="C27" s="12">
        <v>60</v>
      </c>
      <c r="D27" s="12">
        <v>60</v>
      </c>
      <c r="E27" s="12">
        <v>60</v>
      </c>
      <c r="F27" s="12">
        <v>60</v>
      </c>
      <c r="G27" s="12">
        <v>60</v>
      </c>
      <c r="H27" s="12">
        <v>60</v>
      </c>
      <c r="I27" s="12">
        <v>60</v>
      </c>
      <c r="J27" s="12">
        <v>60</v>
      </c>
      <c r="K27" s="12">
        <v>60</v>
      </c>
      <c r="L27" s="12">
        <v>60</v>
      </c>
      <c r="M27" s="12">
        <v>60</v>
      </c>
      <c r="N27" s="12">
        <v>60</v>
      </c>
      <c r="O27" s="12">
        <f t="shared" ref="O27:O44" si="3">SUM(C27:N27)</f>
        <v>720</v>
      </c>
      <c r="P27" s="13">
        <f t="shared" ref="P27:P45" si="4">O27/$O$20</f>
        <v>3.4615384615384616E-3</v>
      </c>
      <c r="R27" s="12">
        <f t="shared" ref="R27:R45" si="5">+O27</f>
        <v>720</v>
      </c>
      <c r="S27" s="13">
        <f t="shared" ref="S27:S45" si="6">R27/$O$20</f>
        <v>3.4615384615384616E-3</v>
      </c>
    </row>
    <row r="28" spans="1:20" x14ac:dyDescent="0.35">
      <c r="B28" t="s">
        <v>21</v>
      </c>
      <c r="C28" s="3">
        <v>30</v>
      </c>
      <c r="D28" s="3">
        <v>30</v>
      </c>
      <c r="E28" s="3">
        <v>30</v>
      </c>
      <c r="F28" s="3">
        <v>30</v>
      </c>
      <c r="G28" s="3">
        <v>30</v>
      </c>
      <c r="H28" s="3">
        <v>30</v>
      </c>
      <c r="I28" s="3">
        <v>30</v>
      </c>
      <c r="J28" s="3">
        <v>30</v>
      </c>
      <c r="K28" s="3">
        <v>30</v>
      </c>
      <c r="L28" s="3">
        <v>30</v>
      </c>
      <c r="M28" s="3">
        <v>30</v>
      </c>
      <c r="N28" s="3">
        <v>30</v>
      </c>
      <c r="O28" s="3">
        <f t="shared" si="3"/>
        <v>360</v>
      </c>
      <c r="P28" s="5">
        <f t="shared" si="4"/>
        <v>1.7307692307692308E-3</v>
      </c>
      <c r="R28" s="12">
        <f t="shared" si="5"/>
        <v>360</v>
      </c>
      <c r="S28" s="5">
        <f t="shared" si="6"/>
        <v>1.7307692307692308E-3</v>
      </c>
    </row>
    <row r="29" spans="1:20" x14ac:dyDescent="0.35">
      <c r="B29" t="s">
        <v>22</v>
      </c>
      <c r="C29" s="3">
        <v>80</v>
      </c>
      <c r="D29" s="3">
        <v>80</v>
      </c>
      <c r="E29" s="3">
        <v>80</v>
      </c>
      <c r="F29" s="3">
        <v>80</v>
      </c>
      <c r="G29" s="3">
        <v>80</v>
      </c>
      <c r="H29" s="3">
        <v>80</v>
      </c>
      <c r="I29" s="3">
        <v>80</v>
      </c>
      <c r="J29" s="3">
        <v>80</v>
      </c>
      <c r="K29" s="3">
        <v>80</v>
      </c>
      <c r="L29" s="3">
        <v>80</v>
      </c>
      <c r="M29" s="3">
        <v>80</v>
      </c>
      <c r="N29" s="3">
        <v>80</v>
      </c>
      <c r="O29" s="3">
        <f t="shared" si="3"/>
        <v>960</v>
      </c>
      <c r="P29" s="5">
        <f t="shared" si="4"/>
        <v>4.6153846153846158E-3</v>
      </c>
      <c r="R29" s="12">
        <f t="shared" si="5"/>
        <v>960</v>
      </c>
      <c r="S29" s="5">
        <f t="shared" si="6"/>
        <v>4.6153846153846158E-3</v>
      </c>
    </row>
    <row r="30" spans="1:20" s="11" customFormat="1" x14ac:dyDescent="0.35">
      <c r="B30" s="11" t="s">
        <v>23</v>
      </c>
      <c r="C30" s="12">
        <v>20</v>
      </c>
      <c r="D30" s="12">
        <v>20</v>
      </c>
      <c r="E30" s="12">
        <v>20</v>
      </c>
      <c r="F30" s="12">
        <v>20</v>
      </c>
      <c r="G30" s="12">
        <v>20</v>
      </c>
      <c r="H30" s="12">
        <v>20</v>
      </c>
      <c r="I30" s="12">
        <v>20</v>
      </c>
      <c r="J30" s="12">
        <v>20</v>
      </c>
      <c r="K30" s="12">
        <v>20</v>
      </c>
      <c r="L30" s="12">
        <v>20</v>
      </c>
      <c r="M30" s="12">
        <v>20</v>
      </c>
      <c r="N30" s="12">
        <v>20</v>
      </c>
      <c r="O30" s="12">
        <f t="shared" si="3"/>
        <v>240</v>
      </c>
      <c r="P30" s="13">
        <f t="shared" si="4"/>
        <v>1.153846153846154E-3</v>
      </c>
      <c r="R30" s="12">
        <f t="shared" si="5"/>
        <v>240</v>
      </c>
      <c r="S30" s="13">
        <f t="shared" si="6"/>
        <v>1.153846153846154E-3</v>
      </c>
    </row>
    <row r="31" spans="1:20" s="11" customFormat="1" x14ac:dyDescent="0.35">
      <c r="B31" s="11" t="s">
        <v>24</v>
      </c>
      <c r="C31" s="12">
        <v>20</v>
      </c>
      <c r="D31" s="12">
        <v>20</v>
      </c>
      <c r="E31" s="12">
        <v>20</v>
      </c>
      <c r="F31" s="12">
        <v>20</v>
      </c>
      <c r="G31" s="12">
        <v>20</v>
      </c>
      <c r="H31" s="12">
        <v>20</v>
      </c>
      <c r="I31" s="12">
        <v>20</v>
      </c>
      <c r="J31" s="12">
        <v>20</v>
      </c>
      <c r="K31" s="12">
        <v>20</v>
      </c>
      <c r="L31" s="12">
        <v>20</v>
      </c>
      <c r="M31" s="12">
        <v>20</v>
      </c>
      <c r="N31" s="12">
        <v>20</v>
      </c>
      <c r="O31" s="12">
        <f t="shared" si="3"/>
        <v>240</v>
      </c>
      <c r="P31" s="13">
        <f t="shared" si="4"/>
        <v>1.153846153846154E-3</v>
      </c>
      <c r="R31" s="12">
        <f t="shared" si="5"/>
        <v>240</v>
      </c>
      <c r="S31" s="13">
        <f t="shared" si="6"/>
        <v>1.153846153846154E-3</v>
      </c>
    </row>
    <row r="32" spans="1:20" x14ac:dyDescent="0.35">
      <c r="B32" t="s">
        <v>25</v>
      </c>
      <c r="C32" s="3">
        <v>10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10</v>
      </c>
      <c r="N32" s="3">
        <v>10</v>
      </c>
      <c r="O32" s="3">
        <f t="shared" si="3"/>
        <v>120</v>
      </c>
      <c r="P32" s="5">
        <f t="shared" si="4"/>
        <v>5.7692307692307698E-4</v>
      </c>
      <c r="R32" s="12">
        <f t="shared" si="5"/>
        <v>120</v>
      </c>
      <c r="S32" s="5">
        <f t="shared" si="6"/>
        <v>5.7692307692307698E-4</v>
      </c>
    </row>
    <row r="33" spans="1:19" s="11" customFormat="1" x14ac:dyDescent="0.35">
      <c r="B33" s="11" t="s">
        <v>26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2">
        <v>10</v>
      </c>
      <c r="N33" s="12">
        <v>10</v>
      </c>
      <c r="O33" s="12">
        <f t="shared" si="3"/>
        <v>120</v>
      </c>
      <c r="P33" s="13">
        <f t="shared" si="4"/>
        <v>5.7692307692307698E-4</v>
      </c>
      <c r="R33" s="12">
        <f t="shared" si="5"/>
        <v>120</v>
      </c>
      <c r="S33" s="13">
        <f t="shared" si="6"/>
        <v>5.7692307692307698E-4</v>
      </c>
    </row>
    <row r="34" spans="1:19" x14ac:dyDescent="0.35">
      <c r="B34" t="s">
        <v>27</v>
      </c>
      <c r="C34" s="3">
        <v>100</v>
      </c>
      <c r="D34" s="3">
        <v>100</v>
      </c>
      <c r="E34" s="3">
        <v>100</v>
      </c>
      <c r="F34" s="3">
        <v>100</v>
      </c>
      <c r="G34" s="3">
        <v>100</v>
      </c>
      <c r="H34" s="3">
        <v>100</v>
      </c>
      <c r="I34" s="3">
        <v>100</v>
      </c>
      <c r="J34" s="3">
        <v>100</v>
      </c>
      <c r="K34" s="3">
        <v>100</v>
      </c>
      <c r="L34" s="3">
        <v>100</v>
      </c>
      <c r="M34" s="3">
        <v>100</v>
      </c>
      <c r="N34" s="3">
        <v>100</v>
      </c>
      <c r="O34" s="3">
        <f t="shared" si="3"/>
        <v>1200</v>
      </c>
      <c r="P34" s="5">
        <f t="shared" si="4"/>
        <v>5.7692307692307696E-3</v>
      </c>
      <c r="R34" s="12">
        <f t="shared" si="5"/>
        <v>1200</v>
      </c>
      <c r="S34" s="5">
        <f t="shared" si="6"/>
        <v>5.7692307692307696E-3</v>
      </c>
    </row>
    <row r="35" spans="1:19" s="11" customFormat="1" x14ac:dyDescent="0.35">
      <c r="B35" s="11" t="s">
        <v>28</v>
      </c>
      <c r="C35" s="12">
        <v>10</v>
      </c>
      <c r="D35" s="12">
        <v>10</v>
      </c>
      <c r="E35" s="12">
        <v>10</v>
      </c>
      <c r="F35" s="12">
        <v>10</v>
      </c>
      <c r="G35" s="12">
        <v>10</v>
      </c>
      <c r="H35" s="12">
        <v>10</v>
      </c>
      <c r="I35" s="12">
        <v>10</v>
      </c>
      <c r="J35" s="12">
        <v>10</v>
      </c>
      <c r="K35" s="12">
        <v>10</v>
      </c>
      <c r="L35" s="12">
        <v>10</v>
      </c>
      <c r="M35" s="12">
        <v>10</v>
      </c>
      <c r="N35" s="12">
        <v>10</v>
      </c>
      <c r="O35" s="12">
        <f t="shared" si="3"/>
        <v>120</v>
      </c>
      <c r="P35" s="13">
        <f t="shared" si="4"/>
        <v>5.7692307692307698E-4</v>
      </c>
      <c r="R35" s="12">
        <f t="shared" si="5"/>
        <v>120</v>
      </c>
      <c r="S35" s="13">
        <f t="shared" si="6"/>
        <v>5.7692307692307698E-4</v>
      </c>
    </row>
    <row r="36" spans="1:19" x14ac:dyDescent="0.35">
      <c r="B36" t="s">
        <v>29</v>
      </c>
      <c r="C36" s="3">
        <v>50</v>
      </c>
      <c r="D36" s="3">
        <v>50</v>
      </c>
      <c r="E36" s="3">
        <v>50</v>
      </c>
      <c r="F36" s="3">
        <v>50</v>
      </c>
      <c r="G36" s="3">
        <v>50</v>
      </c>
      <c r="H36" s="3">
        <v>50</v>
      </c>
      <c r="I36" s="3">
        <v>50</v>
      </c>
      <c r="J36" s="3">
        <v>50</v>
      </c>
      <c r="K36" s="3">
        <v>50</v>
      </c>
      <c r="L36" s="3">
        <v>50</v>
      </c>
      <c r="M36" s="3">
        <v>50</v>
      </c>
      <c r="N36" s="3">
        <v>50</v>
      </c>
      <c r="O36" s="3">
        <f t="shared" si="3"/>
        <v>600</v>
      </c>
      <c r="P36" s="5">
        <f t="shared" si="4"/>
        <v>2.8846153846153848E-3</v>
      </c>
      <c r="R36" s="12">
        <f t="shared" si="5"/>
        <v>600</v>
      </c>
      <c r="S36" s="5">
        <f t="shared" si="6"/>
        <v>2.8846153846153848E-3</v>
      </c>
    </row>
    <row r="37" spans="1:19" x14ac:dyDescent="0.35">
      <c r="B37" t="s">
        <v>30</v>
      </c>
      <c r="C37" s="3">
        <v>35</v>
      </c>
      <c r="D37" s="3">
        <v>35</v>
      </c>
      <c r="E37" s="3">
        <v>35</v>
      </c>
      <c r="F37" s="3">
        <v>35</v>
      </c>
      <c r="G37" s="3">
        <v>35</v>
      </c>
      <c r="H37" s="3">
        <v>35</v>
      </c>
      <c r="I37" s="3">
        <v>35</v>
      </c>
      <c r="J37" s="3">
        <v>35</v>
      </c>
      <c r="K37" s="3">
        <v>35</v>
      </c>
      <c r="L37" s="3">
        <v>35</v>
      </c>
      <c r="M37" s="3">
        <v>35</v>
      </c>
      <c r="N37" s="3">
        <v>35</v>
      </c>
      <c r="O37" s="3">
        <f t="shared" si="3"/>
        <v>420</v>
      </c>
      <c r="P37" s="5">
        <f t="shared" si="4"/>
        <v>2.0192307692307693E-3</v>
      </c>
      <c r="R37" s="12">
        <f t="shared" si="5"/>
        <v>420</v>
      </c>
      <c r="S37" s="5">
        <f t="shared" si="6"/>
        <v>2.0192307692307693E-3</v>
      </c>
    </row>
    <row r="38" spans="1:19" x14ac:dyDescent="0.35">
      <c r="B38" t="s">
        <v>31</v>
      </c>
      <c r="C38" s="3">
        <v>35</v>
      </c>
      <c r="D38" s="3">
        <v>35</v>
      </c>
      <c r="E38" s="3">
        <v>35</v>
      </c>
      <c r="F38" s="3">
        <v>35</v>
      </c>
      <c r="G38" s="3">
        <v>35</v>
      </c>
      <c r="H38" s="3">
        <v>35</v>
      </c>
      <c r="I38" s="3">
        <v>35</v>
      </c>
      <c r="J38" s="3">
        <v>35</v>
      </c>
      <c r="K38" s="3">
        <v>35</v>
      </c>
      <c r="L38" s="3">
        <v>35</v>
      </c>
      <c r="M38" s="3">
        <v>35</v>
      </c>
      <c r="N38" s="3">
        <v>35</v>
      </c>
      <c r="O38" s="3">
        <f t="shared" si="3"/>
        <v>420</v>
      </c>
      <c r="P38" s="5">
        <f t="shared" si="4"/>
        <v>2.0192307692307693E-3</v>
      </c>
      <c r="R38" s="12">
        <f t="shared" si="5"/>
        <v>420</v>
      </c>
      <c r="S38" s="5">
        <f t="shared" si="6"/>
        <v>2.0192307692307693E-3</v>
      </c>
    </row>
    <row r="39" spans="1:19" x14ac:dyDescent="0.35">
      <c r="B39" t="s">
        <v>32</v>
      </c>
      <c r="C39" s="3">
        <v>100</v>
      </c>
      <c r="D39" s="3">
        <v>100</v>
      </c>
      <c r="E39" s="3">
        <v>100</v>
      </c>
      <c r="F39" s="3">
        <v>100</v>
      </c>
      <c r="G39" s="3">
        <v>100</v>
      </c>
      <c r="H39" s="3">
        <v>100</v>
      </c>
      <c r="I39" s="3">
        <v>100</v>
      </c>
      <c r="J39" s="3">
        <v>100</v>
      </c>
      <c r="K39" s="3">
        <v>100</v>
      </c>
      <c r="L39" s="3">
        <v>100</v>
      </c>
      <c r="M39" s="3">
        <v>100</v>
      </c>
      <c r="N39" s="3">
        <v>100</v>
      </c>
      <c r="O39" s="3">
        <f t="shared" si="3"/>
        <v>1200</v>
      </c>
      <c r="P39" s="5">
        <f t="shared" si="4"/>
        <v>5.7692307692307696E-3</v>
      </c>
      <c r="R39" s="12">
        <f t="shared" si="5"/>
        <v>1200</v>
      </c>
      <c r="S39" s="5">
        <f t="shared" si="6"/>
        <v>5.7692307692307696E-3</v>
      </c>
    </row>
    <row r="40" spans="1:19" x14ac:dyDescent="0.35">
      <c r="B40" t="s">
        <v>33</v>
      </c>
      <c r="C40" s="3">
        <v>50</v>
      </c>
      <c r="D40" s="3">
        <v>50</v>
      </c>
      <c r="E40" s="3">
        <v>50</v>
      </c>
      <c r="F40" s="3">
        <v>50</v>
      </c>
      <c r="G40" s="3">
        <v>50</v>
      </c>
      <c r="H40" s="3">
        <v>50</v>
      </c>
      <c r="I40" s="3">
        <v>50</v>
      </c>
      <c r="J40" s="3">
        <v>50</v>
      </c>
      <c r="K40" s="3">
        <v>50</v>
      </c>
      <c r="L40" s="3">
        <v>50</v>
      </c>
      <c r="M40" s="3">
        <v>50</v>
      </c>
      <c r="N40" s="3">
        <v>50</v>
      </c>
      <c r="O40" s="3">
        <f t="shared" si="3"/>
        <v>600</v>
      </c>
      <c r="P40" s="5">
        <f t="shared" si="4"/>
        <v>2.8846153846153848E-3</v>
      </c>
      <c r="R40" s="12">
        <f t="shared" si="5"/>
        <v>600</v>
      </c>
      <c r="S40" s="5">
        <f t="shared" si="6"/>
        <v>2.8846153846153848E-3</v>
      </c>
    </row>
    <row r="41" spans="1:19" s="8" customFormat="1" x14ac:dyDescent="0.35">
      <c r="B41" s="8" t="s">
        <v>34</v>
      </c>
      <c r="C41" s="9">
        <v>250</v>
      </c>
      <c r="D41" s="9">
        <v>250</v>
      </c>
      <c r="E41" s="9">
        <v>250</v>
      </c>
      <c r="F41" s="9">
        <v>250</v>
      </c>
      <c r="G41" s="9">
        <v>250</v>
      </c>
      <c r="H41" s="9">
        <v>250</v>
      </c>
      <c r="I41" s="9">
        <v>250</v>
      </c>
      <c r="J41" s="9">
        <v>250</v>
      </c>
      <c r="K41" s="9">
        <v>250</v>
      </c>
      <c r="L41" s="9">
        <v>250</v>
      </c>
      <c r="M41" s="9">
        <v>250</v>
      </c>
      <c r="N41" s="9">
        <v>250</v>
      </c>
      <c r="O41" s="9">
        <f t="shared" si="3"/>
        <v>3000</v>
      </c>
      <c r="P41" s="10">
        <f t="shared" si="4"/>
        <v>1.4423076923076924E-2</v>
      </c>
      <c r="R41" s="12">
        <f t="shared" si="5"/>
        <v>3000</v>
      </c>
      <c r="S41" s="10">
        <f t="shared" si="6"/>
        <v>1.4423076923076924E-2</v>
      </c>
    </row>
    <row r="42" spans="1:19" x14ac:dyDescent="0.35">
      <c r="B42" t="s">
        <v>35</v>
      </c>
      <c r="C42" s="3">
        <v>100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f t="shared" si="3"/>
        <v>1200</v>
      </c>
      <c r="P42" s="5">
        <f t="shared" si="4"/>
        <v>5.7692307692307696E-3</v>
      </c>
      <c r="R42" s="12">
        <f t="shared" si="5"/>
        <v>1200</v>
      </c>
      <c r="S42" s="5">
        <f t="shared" si="6"/>
        <v>5.7692307692307696E-3</v>
      </c>
    </row>
    <row r="43" spans="1:19" x14ac:dyDescent="0.35">
      <c r="B43" t="s">
        <v>36</v>
      </c>
      <c r="C43" s="3">
        <v>300</v>
      </c>
      <c r="D43" s="3">
        <v>300</v>
      </c>
      <c r="E43" s="3">
        <v>300</v>
      </c>
      <c r="F43" s="3">
        <v>300</v>
      </c>
      <c r="G43" s="3">
        <v>300</v>
      </c>
      <c r="H43" s="3">
        <v>300</v>
      </c>
      <c r="I43" s="3">
        <v>300</v>
      </c>
      <c r="J43" s="3">
        <v>300</v>
      </c>
      <c r="K43" s="3">
        <v>300</v>
      </c>
      <c r="L43" s="3">
        <v>300</v>
      </c>
      <c r="M43" s="3">
        <v>300</v>
      </c>
      <c r="N43" s="3">
        <v>300</v>
      </c>
      <c r="O43" s="3">
        <f t="shared" si="3"/>
        <v>3600</v>
      </c>
      <c r="P43" s="5">
        <f t="shared" si="4"/>
        <v>1.7307692307692309E-2</v>
      </c>
      <c r="R43" s="12">
        <f t="shared" si="5"/>
        <v>3600</v>
      </c>
      <c r="S43" s="5">
        <f t="shared" si="6"/>
        <v>1.7307692307692309E-2</v>
      </c>
    </row>
    <row r="44" spans="1:19" s="11" customFormat="1" x14ac:dyDescent="0.35">
      <c r="B44" s="11" t="s">
        <v>37</v>
      </c>
      <c r="C44" s="12">
        <v>150</v>
      </c>
      <c r="D44" s="12">
        <v>150</v>
      </c>
      <c r="E44" s="12">
        <v>150</v>
      </c>
      <c r="F44" s="12">
        <v>150</v>
      </c>
      <c r="G44" s="12">
        <v>150</v>
      </c>
      <c r="H44" s="12">
        <v>150</v>
      </c>
      <c r="I44" s="12">
        <v>150</v>
      </c>
      <c r="J44" s="12">
        <v>150</v>
      </c>
      <c r="K44" s="12">
        <v>150</v>
      </c>
      <c r="L44" s="12">
        <v>150</v>
      </c>
      <c r="M44" s="12">
        <v>150</v>
      </c>
      <c r="N44" s="12">
        <v>150</v>
      </c>
      <c r="O44" s="12">
        <f t="shared" si="3"/>
        <v>1800</v>
      </c>
      <c r="P44" s="13">
        <f t="shared" si="4"/>
        <v>8.6538461538461543E-3</v>
      </c>
      <c r="R44" s="12">
        <f t="shared" si="5"/>
        <v>1800</v>
      </c>
      <c r="S44" s="13">
        <f t="shared" si="6"/>
        <v>8.6538461538461543E-3</v>
      </c>
    </row>
    <row r="45" spans="1:19" s="11" customFormat="1" x14ac:dyDescent="0.35">
      <c r="B45" s="11" t="s">
        <v>38</v>
      </c>
      <c r="C45" s="12">
        <v>512</v>
      </c>
      <c r="D45" s="12">
        <v>509</v>
      </c>
      <c r="E45" s="12">
        <v>506</v>
      </c>
      <c r="F45" s="12">
        <v>502</v>
      </c>
      <c r="G45" s="12">
        <v>499</v>
      </c>
      <c r="H45" s="12">
        <v>495</v>
      </c>
      <c r="I45" s="12">
        <v>491</v>
      </c>
      <c r="J45" s="12">
        <v>488</v>
      </c>
      <c r="K45" s="12">
        <v>484</v>
      </c>
      <c r="L45" s="12">
        <v>480</v>
      </c>
      <c r="M45" s="12">
        <v>476</v>
      </c>
      <c r="N45" s="12">
        <v>473</v>
      </c>
      <c r="O45" s="12">
        <f>SUM(C45:N45)</f>
        <v>5915</v>
      </c>
      <c r="P45" s="13">
        <f t="shared" si="4"/>
        <v>2.8437500000000001E-2</v>
      </c>
      <c r="R45" s="12">
        <f t="shared" si="5"/>
        <v>5915</v>
      </c>
      <c r="S45" s="13">
        <f t="shared" si="6"/>
        <v>2.8437500000000001E-2</v>
      </c>
    </row>
    <row r="46" spans="1:19" x14ac:dyDescent="0.35">
      <c r="A46" t="s">
        <v>39</v>
      </c>
      <c r="C46" s="3">
        <f>SUM(C26:C45)</f>
        <v>2522</v>
      </c>
      <c r="D46" s="3">
        <f t="shared" ref="D46:P46" si="7">SUM(D26:D45)</f>
        <v>2519</v>
      </c>
      <c r="E46" s="3">
        <f t="shared" si="7"/>
        <v>2516</v>
      </c>
      <c r="F46" s="3">
        <f t="shared" si="7"/>
        <v>2512</v>
      </c>
      <c r="G46" s="3">
        <f t="shared" si="7"/>
        <v>2509</v>
      </c>
      <c r="H46" s="3">
        <f t="shared" si="7"/>
        <v>2505</v>
      </c>
      <c r="I46" s="3">
        <f t="shared" si="7"/>
        <v>2501</v>
      </c>
      <c r="J46" s="3">
        <f t="shared" si="7"/>
        <v>2498</v>
      </c>
      <c r="K46" s="3">
        <f t="shared" si="7"/>
        <v>2494</v>
      </c>
      <c r="L46" s="3">
        <f t="shared" si="7"/>
        <v>2490</v>
      </c>
      <c r="M46" s="3">
        <f t="shared" si="7"/>
        <v>2486</v>
      </c>
      <c r="N46" s="3">
        <f t="shared" si="7"/>
        <v>2483</v>
      </c>
      <c r="O46" s="3">
        <f t="shared" si="7"/>
        <v>30035</v>
      </c>
      <c r="P46" s="5">
        <f t="shared" si="7"/>
        <v>0.14439903846153845</v>
      </c>
      <c r="R46" s="12">
        <f>SUM(R26:R45)</f>
        <v>30035</v>
      </c>
      <c r="S46" s="5">
        <f t="shared" ref="S46" si="8">SUM(S26:S45)</f>
        <v>0.14439903846153845</v>
      </c>
    </row>
    <row r="47" spans="1:19" x14ac:dyDescent="0.35">
      <c r="A47" s="16" t="s">
        <v>40</v>
      </c>
      <c r="B47" s="16"/>
      <c r="C47" s="3">
        <f>C23-C46</f>
        <v>1078</v>
      </c>
      <c r="D47" s="3">
        <f t="shared" ref="D47:O47" si="9">D23-D46</f>
        <v>1321</v>
      </c>
      <c r="E47" s="3">
        <f t="shared" si="9"/>
        <v>2044</v>
      </c>
      <c r="F47" s="3">
        <f t="shared" si="9"/>
        <v>1568</v>
      </c>
      <c r="G47" s="3">
        <f t="shared" si="9"/>
        <v>1331</v>
      </c>
      <c r="H47" s="3">
        <f t="shared" si="9"/>
        <v>1575</v>
      </c>
      <c r="I47" s="3">
        <f t="shared" si="9"/>
        <v>1579</v>
      </c>
      <c r="J47" s="3">
        <f t="shared" si="9"/>
        <v>1582</v>
      </c>
      <c r="K47" s="3">
        <f t="shared" si="9"/>
        <v>1826</v>
      </c>
      <c r="L47" s="3">
        <f t="shared" si="9"/>
        <v>1830</v>
      </c>
      <c r="M47" s="3">
        <f t="shared" si="9"/>
        <v>2074</v>
      </c>
      <c r="N47" s="3">
        <f t="shared" si="9"/>
        <v>2077</v>
      </c>
      <c r="O47" s="3">
        <f t="shared" si="9"/>
        <v>19885</v>
      </c>
      <c r="P47" s="5">
        <f>P23-P46</f>
        <v>9.5600961538461537E-2</v>
      </c>
      <c r="R47" s="12">
        <f>+R23-R46</f>
        <v>-35</v>
      </c>
      <c r="S47" s="5">
        <f>S23-S46</f>
        <v>9.5600961538461537E-2</v>
      </c>
    </row>
    <row r="48" spans="1:19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R48" s="3"/>
      <c r="S48" s="4"/>
    </row>
    <row r="49" spans="1:19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R49" s="3"/>
      <c r="S49" s="4"/>
    </row>
    <row r="50" spans="1:19" s="17" customFormat="1" x14ac:dyDescent="0.35">
      <c r="A50" s="17" t="s">
        <v>57</v>
      </c>
    </row>
    <row r="51" spans="1:19" x14ac:dyDescent="0.35">
      <c r="A51" s="16" t="s">
        <v>41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R51" s="3"/>
      <c r="S51" s="4"/>
    </row>
    <row r="52" spans="1:19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  <c r="R52" s="14"/>
      <c r="S52" s="4"/>
    </row>
    <row r="53" spans="1:19" x14ac:dyDescent="0.35">
      <c r="C53" t="s">
        <v>46</v>
      </c>
      <c r="D53">
        <v>1984</v>
      </c>
      <c r="E53" s="1"/>
      <c r="F53" s="1"/>
      <c r="G53">
        <v>1985</v>
      </c>
      <c r="H53" s="1"/>
      <c r="I53" s="1"/>
      <c r="J53" s="1"/>
      <c r="K53" s="1"/>
      <c r="L53" s="1"/>
      <c r="M53" s="1"/>
      <c r="N53" s="1"/>
      <c r="O53" s="1"/>
      <c r="R53" s="15"/>
    </row>
    <row r="54" spans="1:19" x14ac:dyDescent="0.35">
      <c r="C54" t="s">
        <v>47</v>
      </c>
      <c r="D54" t="s">
        <v>1</v>
      </c>
      <c r="E54" t="s">
        <v>2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R54" s="15"/>
    </row>
    <row r="55" spans="1:19" x14ac:dyDescent="0.35">
      <c r="A55" t="s">
        <v>42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  <c r="R55" s="3"/>
      <c r="S55" s="6"/>
    </row>
    <row r="56" spans="1:19" x14ac:dyDescent="0.35">
      <c r="B56" t="s">
        <v>43</v>
      </c>
      <c r="C56" s="3">
        <v>20000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>
        <f t="shared" ref="P56:P59" si="10">SUM(C56:O56)</f>
        <v>20000</v>
      </c>
      <c r="R56" s="3"/>
      <c r="S56" s="6"/>
    </row>
    <row r="57" spans="1:19" x14ac:dyDescent="0.35">
      <c r="B57" t="s">
        <v>44</v>
      </c>
      <c r="C57" s="3">
        <v>60000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6">
        <f t="shared" si="10"/>
        <v>60000</v>
      </c>
      <c r="R57" s="3"/>
      <c r="S57" s="6"/>
    </row>
    <row r="58" spans="1:19" x14ac:dyDescent="0.35">
      <c r="B58" t="s">
        <v>45</v>
      </c>
      <c r="C58" s="3">
        <v>0</v>
      </c>
      <c r="D58" s="3">
        <f>C47</f>
        <v>1078</v>
      </c>
      <c r="E58" s="3">
        <f t="shared" ref="E58:O58" si="11">D47</f>
        <v>1321</v>
      </c>
      <c r="F58" s="3">
        <f t="shared" si="11"/>
        <v>2044</v>
      </c>
      <c r="G58" s="3">
        <f t="shared" si="11"/>
        <v>1568</v>
      </c>
      <c r="H58" s="3">
        <f t="shared" si="11"/>
        <v>1331</v>
      </c>
      <c r="I58" s="3">
        <f t="shared" si="11"/>
        <v>1575</v>
      </c>
      <c r="J58" s="3">
        <f t="shared" si="11"/>
        <v>1579</v>
      </c>
      <c r="K58" s="3">
        <f t="shared" si="11"/>
        <v>1582</v>
      </c>
      <c r="L58" s="3">
        <f t="shared" si="11"/>
        <v>1826</v>
      </c>
      <c r="M58" s="3">
        <f t="shared" si="11"/>
        <v>1830</v>
      </c>
      <c r="N58" s="3">
        <f t="shared" si="11"/>
        <v>2074</v>
      </c>
      <c r="O58" s="3">
        <f t="shared" si="11"/>
        <v>2077</v>
      </c>
      <c r="P58" s="6">
        <f t="shared" si="10"/>
        <v>19885</v>
      </c>
      <c r="R58" s="3"/>
      <c r="S58" s="6"/>
    </row>
    <row r="59" spans="1:19" x14ac:dyDescent="0.35">
      <c r="B59" t="s">
        <v>34</v>
      </c>
      <c r="C59" s="3">
        <v>0</v>
      </c>
      <c r="D59" s="3">
        <f>C41</f>
        <v>250</v>
      </c>
      <c r="E59" s="3">
        <f t="shared" ref="E59:O59" si="12">D41</f>
        <v>250</v>
      </c>
      <c r="F59" s="3">
        <f t="shared" si="12"/>
        <v>250</v>
      </c>
      <c r="G59" s="3">
        <f t="shared" si="12"/>
        <v>250</v>
      </c>
      <c r="H59" s="3">
        <f t="shared" si="12"/>
        <v>250</v>
      </c>
      <c r="I59" s="3">
        <f t="shared" si="12"/>
        <v>250</v>
      </c>
      <c r="J59" s="3">
        <f t="shared" si="12"/>
        <v>250</v>
      </c>
      <c r="K59" s="3">
        <f t="shared" si="12"/>
        <v>250</v>
      </c>
      <c r="L59" s="3">
        <f t="shared" si="12"/>
        <v>250</v>
      </c>
      <c r="M59" s="3">
        <f t="shared" si="12"/>
        <v>250</v>
      </c>
      <c r="N59" s="3">
        <f t="shared" si="12"/>
        <v>250</v>
      </c>
      <c r="O59" s="3">
        <f t="shared" si="12"/>
        <v>250</v>
      </c>
      <c r="P59" s="6">
        <f t="shared" si="10"/>
        <v>3000</v>
      </c>
      <c r="R59" s="3"/>
      <c r="S59" s="6"/>
    </row>
    <row r="60" spans="1:19" x14ac:dyDescent="0.35">
      <c r="A60" t="s">
        <v>13</v>
      </c>
      <c r="C60" s="3">
        <f>SUM(C56:C59)</f>
        <v>80000</v>
      </c>
      <c r="D60" s="3">
        <f t="shared" ref="D60:O60" si="13">SUM(D56:D59)</f>
        <v>1328</v>
      </c>
      <c r="E60" s="3">
        <f t="shared" si="13"/>
        <v>1571</v>
      </c>
      <c r="F60" s="3">
        <f t="shared" si="13"/>
        <v>2294</v>
      </c>
      <c r="G60" s="3">
        <f t="shared" si="13"/>
        <v>1818</v>
      </c>
      <c r="H60" s="3">
        <f t="shared" si="13"/>
        <v>1581</v>
      </c>
      <c r="I60" s="3">
        <f t="shared" si="13"/>
        <v>1825</v>
      </c>
      <c r="J60" s="3">
        <f t="shared" si="13"/>
        <v>1829</v>
      </c>
      <c r="K60" s="3">
        <f t="shared" si="13"/>
        <v>1832</v>
      </c>
      <c r="L60" s="3">
        <f t="shared" si="13"/>
        <v>2076</v>
      </c>
      <c r="M60" s="3">
        <f t="shared" si="13"/>
        <v>2080</v>
      </c>
      <c r="N60" s="3">
        <f t="shared" si="13"/>
        <v>2324</v>
      </c>
      <c r="O60" s="3">
        <f t="shared" si="13"/>
        <v>2327</v>
      </c>
      <c r="P60" s="6">
        <f>SUM(C60:O60)</f>
        <v>102885</v>
      </c>
      <c r="R60" s="3"/>
      <c r="S60" s="6"/>
    </row>
    <row r="61" spans="1:19" x14ac:dyDescent="0.3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R61" s="3"/>
      <c r="S61" s="4"/>
    </row>
    <row r="62" spans="1:19" x14ac:dyDescent="0.35">
      <c r="A62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R62" s="3"/>
      <c r="S62" s="4"/>
    </row>
    <row r="63" spans="1:19" ht="29" x14ac:dyDescent="0.35">
      <c r="B63" s="7" t="s">
        <v>48</v>
      </c>
      <c r="C63" s="3">
        <v>58000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6">
        <f>SUM(C63:O63)</f>
        <v>58000</v>
      </c>
      <c r="R63" s="3"/>
      <c r="S63" s="6"/>
    </row>
    <row r="64" spans="1:19" x14ac:dyDescent="0.35">
      <c r="B64" s="7" t="s">
        <v>49</v>
      </c>
      <c r="C64" s="3">
        <v>1200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6">
        <f t="shared" ref="P64:P71" si="14">SUM(C64:O64)</f>
        <v>1200</v>
      </c>
      <c r="R64" s="3"/>
      <c r="S64" s="6"/>
    </row>
    <row r="65" spans="1:19" ht="29" x14ac:dyDescent="0.35">
      <c r="B65" s="7" t="s">
        <v>50</v>
      </c>
      <c r="C65" s="3">
        <v>15000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6">
        <f t="shared" si="14"/>
        <v>15000</v>
      </c>
      <c r="R65" s="3"/>
      <c r="S65" s="6"/>
    </row>
    <row r="66" spans="1:19" x14ac:dyDescent="0.35">
      <c r="B66" s="7" t="s">
        <v>51</v>
      </c>
      <c r="C66" s="3">
        <v>1300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6">
        <f t="shared" si="14"/>
        <v>1300</v>
      </c>
      <c r="R66" s="3"/>
      <c r="S66" s="6"/>
    </row>
    <row r="67" spans="1:19" ht="29" x14ac:dyDescent="0.35">
      <c r="B67" s="7" t="s">
        <v>52</v>
      </c>
      <c r="C67" s="3">
        <v>0</v>
      </c>
      <c r="D67" s="3">
        <v>406</v>
      </c>
      <c r="E67" s="3">
        <v>410</v>
      </c>
      <c r="F67" s="3">
        <v>413</v>
      </c>
      <c r="G67" s="3">
        <v>416</v>
      </c>
      <c r="H67" s="3">
        <v>420</v>
      </c>
      <c r="I67" s="3">
        <v>424</v>
      </c>
      <c r="J67" s="3">
        <v>427</v>
      </c>
      <c r="K67" s="3">
        <v>431</v>
      </c>
      <c r="L67" s="3">
        <v>434</v>
      </c>
      <c r="M67" s="3">
        <v>439</v>
      </c>
      <c r="N67" s="3">
        <v>442</v>
      </c>
      <c r="O67" s="3">
        <v>446</v>
      </c>
      <c r="P67" s="6">
        <f t="shared" si="14"/>
        <v>5108</v>
      </c>
      <c r="R67" s="3"/>
      <c r="S67" s="6"/>
    </row>
    <row r="68" spans="1:19" x14ac:dyDescent="0.35">
      <c r="B68" s="7" t="s">
        <v>53</v>
      </c>
      <c r="C68" s="3">
        <v>0</v>
      </c>
      <c r="D68" s="3">
        <v>1000</v>
      </c>
      <c r="E68" s="3">
        <v>1000</v>
      </c>
      <c r="F68" s="3">
        <v>1200</v>
      </c>
      <c r="G68" s="3">
        <v>1200</v>
      </c>
      <c r="H68" s="3">
        <v>1200</v>
      </c>
      <c r="I68" s="3">
        <v>1200</v>
      </c>
      <c r="J68" s="3">
        <v>1200</v>
      </c>
      <c r="K68" s="3">
        <v>1200</v>
      </c>
      <c r="L68" s="3">
        <v>1200</v>
      </c>
      <c r="M68" s="3">
        <v>1200</v>
      </c>
      <c r="N68" s="3">
        <v>1200</v>
      </c>
      <c r="O68" s="3">
        <v>1200</v>
      </c>
      <c r="P68" s="6">
        <f t="shared" si="14"/>
        <v>14000</v>
      </c>
      <c r="R68" s="3"/>
      <c r="S68" s="6"/>
    </row>
    <row r="69" spans="1:19" x14ac:dyDescent="0.35">
      <c r="B69" s="7" t="s">
        <v>54</v>
      </c>
      <c r="C69" s="3">
        <v>0</v>
      </c>
      <c r="D69" s="3"/>
      <c r="E69" s="3"/>
      <c r="F69" s="3"/>
      <c r="G69" s="3"/>
      <c r="H69" s="3"/>
      <c r="I69" s="3"/>
      <c r="J69" s="3">
        <v>1000</v>
      </c>
      <c r="K69" s="3"/>
      <c r="L69" s="3"/>
      <c r="M69" s="3"/>
      <c r="N69" s="3"/>
      <c r="O69" s="3"/>
      <c r="P69" s="6">
        <f t="shared" si="14"/>
        <v>1000</v>
      </c>
      <c r="R69" s="3"/>
      <c r="S69" s="6"/>
    </row>
    <row r="70" spans="1:19" x14ac:dyDescent="0.35">
      <c r="A70" t="s">
        <v>13</v>
      </c>
      <c r="C70" s="3">
        <f>SUM(C63:C69)</f>
        <v>75500</v>
      </c>
      <c r="D70" s="3">
        <f t="shared" ref="D70:O70" si="15">SUM(D63:D69)</f>
        <v>1406</v>
      </c>
      <c r="E70" s="3">
        <f t="shared" si="15"/>
        <v>1410</v>
      </c>
      <c r="F70" s="3">
        <f t="shared" si="15"/>
        <v>1613</v>
      </c>
      <c r="G70" s="3">
        <f t="shared" si="15"/>
        <v>1616</v>
      </c>
      <c r="H70" s="3">
        <f t="shared" si="15"/>
        <v>1620</v>
      </c>
      <c r="I70" s="3">
        <f t="shared" si="15"/>
        <v>1624</v>
      </c>
      <c r="J70" s="3">
        <f t="shared" si="15"/>
        <v>2627</v>
      </c>
      <c r="K70" s="3">
        <f t="shared" si="15"/>
        <v>1631</v>
      </c>
      <c r="L70" s="3">
        <f t="shared" si="15"/>
        <v>1634</v>
      </c>
      <c r="M70" s="3">
        <f t="shared" si="15"/>
        <v>1639</v>
      </c>
      <c r="N70" s="3">
        <f t="shared" si="15"/>
        <v>1642</v>
      </c>
      <c r="O70" s="3">
        <f t="shared" si="15"/>
        <v>1646</v>
      </c>
      <c r="P70" s="6">
        <f t="shared" si="14"/>
        <v>95608</v>
      </c>
      <c r="R70" s="3"/>
      <c r="S70" s="6"/>
    </row>
    <row r="71" spans="1:19" x14ac:dyDescent="0.35">
      <c r="A71" t="s">
        <v>55</v>
      </c>
      <c r="C71" s="3">
        <f>C60-C70</f>
        <v>4500</v>
      </c>
      <c r="D71" s="3">
        <f t="shared" ref="D71:O71" si="16">D60-D70</f>
        <v>-78</v>
      </c>
      <c r="E71" s="3">
        <f t="shared" si="16"/>
        <v>161</v>
      </c>
      <c r="F71" s="3">
        <f t="shared" si="16"/>
        <v>681</v>
      </c>
      <c r="G71" s="3">
        <f t="shared" si="16"/>
        <v>202</v>
      </c>
      <c r="H71" s="3">
        <f t="shared" si="16"/>
        <v>-39</v>
      </c>
      <c r="I71" s="3">
        <f t="shared" si="16"/>
        <v>201</v>
      </c>
      <c r="J71" s="3">
        <f t="shared" si="16"/>
        <v>-798</v>
      </c>
      <c r="K71" s="3">
        <f t="shared" si="16"/>
        <v>201</v>
      </c>
      <c r="L71" s="3">
        <f t="shared" si="16"/>
        <v>442</v>
      </c>
      <c r="M71" s="3">
        <f t="shared" si="16"/>
        <v>441</v>
      </c>
      <c r="N71" s="3">
        <f t="shared" si="16"/>
        <v>682</v>
      </c>
      <c r="O71" s="3">
        <f t="shared" si="16"/>
        <v>681</v>
      </c>
      <c r="P71" s="6">
        <f t="shared" si="14"/>
        <v>7277</v>
      </c>
      <c r="R71" s="3"/>
      <c r="S71" s="6"/>
    </row>
    <row r="72" spans="1:19" x14ac:dyDescent="0.35">
      <c r="A72" s="16" t="s">
        <v>56</v>
      </c>
      <c r="B72" s="16"/>
      <c r="C72" s="3">
        <f>C71</f>
        <v>4500</v>
      </c>
      <c r="D72" s="3">
        <f>C72+D71</f>
        <v>4422</v>
      </c>
      <c r="E72" s="3">
        <f t="shared" ref="E72:O72" si="17">D72+E71</f>
        <v>4583</v>
      </c>
      <c r="F72" s="3">
        <f t="shared" si="17"/>
        <v>5264</v>
      </c>
      <c r="G72" s="3">
        <f t="shared" si="17"/>
        <v>5466</v>
      </c>
      <c r="H72" s="3">
        <f t="shared" si="17"/>
        <v>5427</v>
      </c>
      <c r="I72" s="3">
        <f t="shared" si="17"/>
        <v>5628</v>
      </c>
      <c r="J72" s="3">
        <f t="shared" si="17"/>
        <v>4830</v>
      </c>
      <c r="K72" s="3">
        <f t="shared" si="17"/>
        <v>5031</v>
      </c>
      <c r="L72" s="3">
        <f t="shared" si="17"/>
        <v>5473</v>
      </c>
      <c r="M72" s="3">
        <f t="shared" si="17"/>
        <v>5914</v>
      </c>
      <c r="N72" s="3">
        <f t="shared" si="17"/>
        <v>6596</v>
      </c>
      <c r="O72" s="3">
        <f t="shared" si="17"/>
        <v>7277</v>
      </c>
      <c r="P72" s="4"/>
      <c r="R72" s="3"/>
      <c r="S72" s="4"/>
    </row>
    <row r="73" spans="1:19" x14ac:dyDescent="0.3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R73" s="3"/>
      <c r="S73" s="4"/>
    </row>
    <row r="74" spans="1:19" x14ac:dyDescent="0.3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</row>
    <row r="75" spans="1:19" x14ac:dyDescent="0.3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</row>
    <row r="76" spans="1:19" x14ac:dyDescent="0.3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</row>
    <row r="77" spans="1:19" x14ac:dyDescent="0.3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</row>
    <row r="78" spans="1:19" x14ac:dyDescent="0.3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</row>
    <row r="79" spans="1:19" x14ac:dyDescent="0.3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9" x14ac:dyDescent="0.35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3:16" x14ac:dyDescent="0.3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</row>
    <row r="82" spans="3:16" x14ac:dyDescent="0.3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3:16" x14ac:dyDescent="0.3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</row>
    <row r="84" spans="3:16" x14ac:dyDescent="0.3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</row>
    <row r="85" spans="3:16" x14ac:dyDescent="0.3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</row>
    <row r="86" spans="3:16" x14ac:dyDescent="0.3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3:16" x14ac:dyDescent="0.3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3:16" x14ac:dyDescent="0.3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3:16" x14ac:dyDescent="0.3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</row>
    <row r="90" spans="3:16" x14ac:dyDescent="0.3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</row>
    <row r="91" spans="3:16" x14ac:dyDescent="0.3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</row>
    <row r="92" spans="3:16" x14ac:dyDescent="0.3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3:16" x14ac:dyDescent="0.3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</row>
    <row r="94" spans="3:16" x14ac:dyDescent="0.3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</row>
    <row r="95" spans="3:16" x14ac:dyDescent="0.3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</row>
    <row r="96" spans="3:16" x14ac:dyDescent="0.3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</row>
    <row r="97" spans="3:16" x14ac:dyDescent="0.3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</row>
    <row r="98" spans="3:16" x14ac:dyDescent="0.3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3:16" x14ac:dyDescent="0.3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</row>
    <row r="100" spans="3:16" x14ac:dyDescent="0.3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</row>
    <row r="101" spans="3:16" x14ac:dyDescent="0.3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</row>
    <row r="102" spans="3:16" x14ac:dyDescent="0.3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</row>
    <row r="103" spans="3:16" x14ac:dyDescent="0.3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</row>
    <row r="104" spans="3:16" x14ac:dyDescent="0.3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</row>
    <row r="105" spans="3:16" x14ac:dyDescent="0.3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</row>
    <row r="106" spans="3:16" x14ac:dyDescent="0.3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</row>
    <row r="107" spans="3:16" x14ac:dyDescent="0.3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</row>
    <row r="108" spans="3:16" x14ac:dyDescent="0.3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</row>
    <row r="109" spans="3:16" x14ac:dyDescent="0.3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</row>
    <row r="110" spans="3:16" x14ac:dyDescent="0.3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</row>
    <row r="111" spans="3:16" x14ac:dyDescent="0.3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</row>
    <row r="112" spans="3:16" x14ac:dyDescent="0.3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</row>
    <row r="113" spans="3:16" x14ac:dyDescent="0.3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</row>
    <row r="114" spans="3:16" x14ac:dyDescent="0.3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</row>
    <row r="115" spans="3:16" x14ac:dyDescent="0.3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</row>
    <row r="116" spans="3:16" x14ac:dyDescent="0.3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</row>
    <row r="117" spans="3:16" x14ac:dyDescent="0.3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</row>
    <row r="118" spans="3:16" x14ac:dyDescent="0.3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</row>
    <row r="119" spans="3:16" x14ac:dyDescent="0.3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</row>
    <row r="120" spans="3:16" x14ac:dyDescent="0.3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</row>
    <row r="121" spans="3:16" x14ac:dyDescent="0.3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</row>
    <row r="122" spans="3:16" x14ac:dyDescent="0.3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</row>
    <row r="123" spans="3:16" x14ac:dyDescent="0.3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</row>
    <row r="124" spans="3:16" x14ac:dyDescent="0.3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</row>
    <row r="125" spans="3:16" x14ac:dyDescent="0.3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</row>
    <row r="126" spans="3:16" x14ac:dyDescent="0.3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</row>
    <row r="127" spans="3:16" x14ac:dyDescent="0.3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</row>
    <row r="128" spans="3:16" x14ac:dyDescent="0.3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</row>
    <row r="129" spans="3:16" x14ac:dyDescent="0.3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</row>
    <row r="130" spans="3:16" x14ac:dyDescent="0.3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</row>
    <row r="131" spans="3:16" x14ac:dyDescent="0.3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</row>
    <row r="132" spans="3:16" x14ac:dyDescent="0.3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</row>
    <row r="133" spans="3:16" x14ac:dyDescent="0.3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</row>
    <row r="134" spans="3:16" x14ac:dyDescent="0.3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</row>
    <row r="135" spans="3:16" x14ac:dyDescent="0.3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</row>
    <row r="136" spans="3:16" x14ac:dyDescent="0.3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</row>
    <row r="137" spans="3:16" x14ac:dyDescent="0.3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</row>
    <row r="138" spans="3:16" x14ac:dyDescent="0.3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</row>
    <row r="139" spans="3:16" x14ac:dyDescent="0.3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</row>
    <row r="140" spans="3:16" x14ac:dyDescent="0.3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</row>
    <row r="141" spans="3:16" x14ac:dyDescent="0.3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</row>
    <row r="142" spans="3:16" x14ac:dyDescent="0.3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</row>
    <row r="143" spans="3:16" x14ac:dyDescent="0.3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</row>
    <row r="144" spans="3:16" x14ac:dyDescent="0.3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</row>
    <row r="145" spans="3:16" x14ac:dyDescent="0.3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</row>
    <row r="146" spans="3:16" x14ac:dyDescent="0.3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</row>
    <row r="147" spans="3:16" x14ac:dyDescent="0.3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</row>
    <row r="148" spans="3:16" x14ac:dyDescent="0.3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</row>
    <row r="149" spans="3:16" x14ac:dyDescent="0.3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</row>
    <row r="150" spans="3:16" x14ac:dyDescent="0.3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</row>
    <row r="151" spans="3:16" x14ac:dyDescent="0.3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</row>
    <row r="152" spans="3:16" x14ac:dyDescent="0.3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</row>
    <row r="153" spans="3:16" x14ac:dyDescent="0.3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</row>
    <row r="154" spans="3:16" x14ac:dyDescent="0.3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</row>
    <row r="155" spans="3:16" x14ac:dyDescent="0.3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</row>
    <row r="156" spans="3:16" x14ac:dyDescent="0.3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</row>
    <row r="157" spans="3:16" x14ac:dyDescent="0.3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</row>
    <row r="158" spans="3:16" x14ac:dyDescent="0.3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</row>
    <row r="159" spans="3:16" x14ac:dyDescent="0.3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</row>
    <row r="160" spans="3:16" x14ac:dyDescent="0.3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</row>
    <row r="161" spans="3:16" x14ac:dyDescent="0.3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</row>
    <row r="162" spans="3:16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/>
    </row>
    <row r="163" spans="3:16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4"/>
    </row>
    <row r="164" spans="3:16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4"/>
    </row>
    <row r="165" spans="3:16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</sheetData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breakeven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2021-02-27T01:37:25Z</dcterms:modified>
</cp:coreProperties>
</file>