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venue Build" sheetId="1" state="visible" r:id="rId3"/>
    <sheet name="Projections" sheetId="2" state="visible" r:id="rId4"/>
    <sheet name="breakeven 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<sst xmlns="http://schemas.openxmlformats.org/spreadsheetml/2006/main" count="117" uniqueCount="84">
  <si>
    <t xml:space="preserve">South LA Community Carshare</t>
  </si>
  <si>
    <t xml:space="preserve">Revenue Build and Key Assumptions</t>
  </si>
  <si>
    <t xml:space="preserve">Base Assumptions</t>
  </si>
  <si>
    <t xml:space="preserve">Fleet size (vehicles)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</si>
  <si>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</si>
  <si>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</si>
  <si>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</si>
  <si>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</si>
  <si>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</si>
  <si>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</si>
  <si>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</si>
  <si>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</si>
  <si>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</si>
  <si>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</si>
  <si>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Nov.</t>
  </si>
  <si>
    <t xml:space="preserve">Dec.</t>
  </si>
  <si>
    <t xml:space="preserve">Total</t>
  </si>
  <si>
    <t xml:space="preserve">Avg. billable hours / day / vehicle</t>
  </si>
  <si>
    <t xml:space="preserve">Planning days billed / month</t>
  </si>
  <si>
    <t xml:space="preserve">Average hourly rate ($/hour)</t>
  </si>
  <si>
    <t xml:space="preserve">Active members in base case</t>
  </si>
  <si>
    <t xml:space="preserve">Membership fee ($/month)</t>
  </si>
  <si>
    <t xml:space="preserve">Insurance per vehicle / year</t>
  </si>
  <si>
    <t xml:space="preserve">Maintenance per vehicle / year</t>
  </si>
  <si>
    <t xml:space="preserve">Cleaning &amp; minor repairs / vehicle / year</t>
  </si>
  <si>
    <t xml:space="preserve">Depreciation per vehicle / year</t>
  </si>
  <si>
    <t xml:space="preserve">Software / booking platform / year</t>
  </si>
  <si>
    <t xml:space="preserve">Parking / storage / year</t>
  </si>
  <si>
    <t xml:space="preserve">Revenue Build</t>
  </si>
  <si>
    <t xml:space="preserve">Booking revenue</t>
  </si>
  <si>
    <t xml:space="preserve">Membership revenue</t>
  </si>
  <si>
    <t xml:space="preserve">Total revenue</t>
  </si>
  <si>
    <t xml:space="preserve">Direct Vehicle Operating Costs</t>
  </si>
  <si>
    <t xml:space="preserve">Insurance</t>
  </si>
  <si>
    <t xml:space="preserve">Maintenance</t>
  </si>
  <si>
    <t xml:space="preserve">Cleaning &amp; minor repairs</t>
  </si>
  <si>
    <t xml:space="preserve">Depreciation</t>
  </si>
  <si>
    <t xml:space="preserve">Total direct vehicle operating costs</t>
  </si>
  <si>
    <t xml:space="preserve">Operating Expenses</t>
  </si>
  <si>
    <t xml:space="preserve">Software / booking platform</t>
  </si>
  <si>
    <t xml:space="preserve">Parking / storage</t>
  </si>
  <si>
    <t xml:space="preserve">Total operating expenses</t>
  </si>
  <si>
    <t xml:space="preserve">Gross profit</t>
  </si>
  <si>
    <t xml:space="preserve">Net profit (loss)</t>
  </si>
  <si>
    <t xml:space="preserve">Key outputs</t>
  </si>
  <si>
    <t xml:space="preserve">Expected annual revenue</t>
  </si>
  <si>
    <t xml:space="preserve">Expected annual direct operating costs</t>
  </si>
  <si>
    <t xml:space="preserve">Expected annual operating expenses</t>
  </si>
  <si>
    <t xml:space="preserve">Expected annual net profit</t>
  </si>
  <si>
    <t xml:space="preserve">Net profit margin</t>
  </si>
  <si>
    <t xml:space="preserve">Revenue per vehicle / year</t>
  </si>
  <si>
    <t xml:space="preserve">Projected Profit and Loss Statement</t>
  </si>
  <si>
    <t xml:space="preserve">%</t>
  </si>
  <si>
    <t xml:space="preserve">Less Direct Vehicle Operating Costs</t>
  </si>
  <si>
    <t xml:space="preserve">Gross Profit</t>
  </si>
  <si>
    <t xml:space="preserve">Customer support / admin</t>
  </si>
  <si>
    <t xml:space="preserve">Legal / accounting reserve</t>
  </si>
  <si>
    <t xml:space="preserve">Total Expenses</t>
  </si>
  <si>
    <t xml:space="preserve">Net Profit (Loss)</t>
  </si>
  <si>
    <t xml:space="preserve">Operating KPI Summary</t>
  </si>
  <si>
    <t xml:space="preserve">Base Case</t>
  </si>
  <si>
    <t xml:space="preserve">Metric</t>
  </si>
  <si>
    <t xml:space="preserve">Result</t>
  </si>
  <si>
    <t xml:space="preserve">Vehicles in fleet</t>
  </si>
  <si>
    <t xml:space="preserve">Revenue per vehicle / month</t>
  </si>
  <si>
    <t xml:space="preserve">Break-even billable hours / day / vehicle</t>
  </si>
  <si>
    <t xml:space="preserve">Breakeven Analysis</t>
  </si>
  <si>
    <t xml:space="preserve">Assumptions:</t>
  </si>
  <si>
    <t xml:space="preserve">Fleet size remains fixed at the 10-vehicle base case</t>
  </si>
  <si>
    <t xml:space="preserve">Average hourly rate remains $11 per hour</t>
  </si>
  <si>
    <t xml:space="preserve">Base case assumes no membership revenue</t>
  </si>
  <si>
    <t xml:space="preserve">Annual planning days = 12 months x 30 billed days / month</t>
  </si>
  <si>
    <t xml:space="preserve">Annual direct vehicle operating costs</t>
  </si>
  <si>
    <t xml:space="preserve">Annual operating expenses</t>
  </si>
  <si>
    <t xml:space="preserve">Total annual cost base</t>
  </si>
  <si>
    <t xml:space="preserve">Base-case billable hours / day / vehicle</t>
  </si>
  <si>
    <t xml:space="preserve">Revenue cushion above break-even</t>
  </si>
  <si>
    <t xml:space="preserve">Utilization sensitivity</t>
  </si>
  <si>
    <t xml:space="preserve">Hours / day / vehicle</t>
  </si>
  <si>
    <t xml:space="preserve">Base</t>
  </si>
  <si>
    <t xml:space="preserve">Fleet size</t>
  </si>
  <si>
    <t xml:space="preserve">Hourly rate</t>
  </si>
  <si>
    <t xml:space="preserve">Annual revenue</t>
  </si>
  <si>
    <t xml:space="preserve">Expenses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</si>
</sst>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"/>
    <numFmt numFmtId="167" formatCode="\$#,##0;[RED]&quot;($&quot;#,##0\);\-"/>
    <numFmt numFmtId="168" formatCode="0.0%"/>
    <numFmt numFmtId="169" formatCode="_(* #,##0.00_);_(* \(#,##0.00\);_(* \-??_);_(@_)"/>
    <numFmt numFmtId="170" formatCode="0%"/>
    <numFmt numFmtId="171" formatCode="_(* #,##0_);_(* \(#,##0\);_(* \-??_);_(@_)"/>
  </numFmts>
  <fonts count="13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theme="1"/>
      <name val="Cambria"/>
      <family val="0"/>
    </font>
    <font>
      <b val="true"/>
      <i val="true"/>
      <sz val="11"/>
      <color theme="1"/>
      <name val="Cambria"/>
      <family val="0"/>
    </font>
    <font>
      <b val="true"/>
      <sz val="11"/>
      <color theme="1"/>
      <name val="Cambria"/>
      <family val="0"/>
    </font>
    <font>
      <sz val="11"/>
      <color theme="1"/>
      <name val="Cambria"/>
      <family val="0"/>
    </font>
    <font>
      <b val="true"/>
      <sz val="11"/>
      <color theme="1"/>
      <name val="Cambria"/>
      <family val="0"/>
    </font>
    <font>
      <sz val="11"/>
      <color theme="1"/>
      <name val="Cambria"/>
      <family val="0"/>
    </font>
    <font>
      <b val="true"/>
      <sz val="11"/>
      <color theme="1"/>
      <name val="Cambria"/>
      <family val="0"/>
    </font>
    <font>
      <b val="true"/>
      <i val="true"/>
      <sz val="11"/>
      <color theme="1"/>
      <name val="Calibri"/>
      <family val="2"/>
    </font>
    <font>
      <b val="true"/>
      <u val="single"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theme="4" tint="0.3999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6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6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2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6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43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13" activeCellId="0" sqref="B13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3.6"/>
    <col collapsed="false" customWidth="true" hidden="false" outlineLevel="0" max="3" min="3" style="1" width="14"/>
    <col collapsed="false" customWidth="true" hidden="false" outlineLevel="0" max="15" min="4" style="1" width="10.51"/>
    <col collapsed="false" customWidth="true" hidden="false" outlineLevel="0" max="16" min="16" style="1" width="12"/>
  </cols>
  <sheetData>
    <row r="1" customFormat="false" ht="13.8" hidden="false" customHeight="false" outlineLevel="0" collapsed="false">
      <c r="B1" s="2" t="s">
        <v>0</v>
      </c>
    </row>
    <row r="2" customFormat="false" ht="13.8" hidden="false" customHeight="false" outlineLevel="0" collapsed="false">
      <c r="B2" s="3" t="s">
        <v>1</v>
      </c>
    </row>
    <row r="4" customFormat="false" ht="13.8" hidden="false" customHeight="false" outlineLevel="0" collapsed="false">
      <c r="B4" s="4" t="s">
        <v>2</v>
      </c>
      <c r="C4" s="4"/>
      <c r="D4" s="5" t="n">
        <v>2026</v>
      </c>
    </row>
    <row r="5" customFormat="false" ht="13.8" hidden="false" customHeight="false" outlineLevel="0" collapsed="false">
      <c r="B5" s="6" t="s">
        <v>3</v>
      </c>
      <c r="C5" s="7" t="n">
        <v>10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</row>
    <row r="6" customFormat="false" ht="13.8" hidden="false" customHeight="false" outlineLevel="0" collapsed="false">
      <c r="B6" s="6" t="s">
        <v>17</v>
      </c>
      <c r="C6" s="8" t="n">
        <v>5</v>
      </c>
    </row>
    <row r="7" customFormat="false" ht="13.8" hidden="false" customHeight="false" outlineLevel="0" collapsed="false">
      <c r="B7" s="6" t="s">
        <v>18</v>
      </c>
      <c r="C7" s="7" t="n">
        <v>30</v>
      </c>
    </row>
    <row r="8" customFormat="false" ht="13.8" hidden="false" customHeight="false" outlineLevel="0" collapsed="false">
      <c r="B8" s="6" t="s">
        <v>19</v>
      </c>
      <c r="C8" s="9" t="n">
        <v>11</v>
      </c>
    </row>
    <row r="9" customFormat="false" ht="13.8" hidden="false" customHeight="false" outlineLevel="0" collapsed="false">
      <c r="B9" s="6" t="s">
        <v>20</v>
      </c>
      <c r="C9" s="7" t="n">
        <v>0</v>
      </c>
    </row>
    <row r="10" customFormat="false" ht="13.8" hidden="false" customHeight="false" outlineLevel="0" collapsed="false">
      <c r="B10" s="6" t="s">
        <v>21</v>
      </c>
      <c r="C10" s="9" t="n">
        <v>5</v>
      </c>
    </row>
    <row r="11" customFormat="false" ht="13.8" hidden="false" customHeight="false" outlineLevel="0" collapsed="false">
      <c r="B11" s="6" t="s">
        <v>22</v>
      </c>
      <c r="C11" s="9" t="n">
        <v>3000</v>
      </c>
    </row>
    <row r="12" customFormat="false" ht="13.8" hidden="false" customHeight="false" outlineLevel="0" collapsed="false">
      <c r="B12" s="6" t="s">
        <v>23</v>
      </c>
      <c r="C12" s="9" t="n">
        <v>1200</v>
      </c>
    </row>
    <row r="13" customFormat="false" ht="13.8" hidden="false" customHeight="false" outlineLevel="0" collapsed="false">
      <c r="B13" s="6" t="s">
        <v>24</v>
      </c>
      <c r="C13" s="9" t="n">
        <v>600</v>
      </c>
    </row>
    <row r="14" customFormat="false" ht="13.8" hidden="false" customHeight="false" outlineLevel="0" collapsed="false">
      <c r="B14" s="6" t="s">
        <v>25</v>
      </c>
      <c r="C14" s="9" t="n">
        <v>4000</v>
      </c>
    </row>
    <row r="15" customFormat="false" ht="13.8" hidden="false" customHeight="false" outlineLevel="0" collapsed="false">
      <c r="B15" s="6" t="s">
        <v>26</v>
      </c>
      <c r="C15" s="9" t="n">
        <v>3000</v>
      </c>
    </row>
    <row r="16" customFormat="false" ht="13.8" hidden="false" customHeight="false" outlineLevel="0" collapsed="false">
      <c r="B16" s="6" t="s">
        <v>27</v>
      </c>
      <c r="C16" s="9" t="n">
        <v>12000</v>
      </c>
    </row>
    <row r="18" customFormat="false" ht="13.8" hidden="false" customHeight="false" outlineLevel="0" collapsed="false">
      <c r="B18" s="10" t="s">
        <v>28</v>
      </c>
    </row>
    <row r="19" customFormat="false" ht="13.8" hidden="false" customHeight="false" outlineLevel="0" collapsed="false">
      <c r="B19" s="11" t="s">
        <v>29</v>
      </c>
      <c r="D19" s="12" t="n">
        <f aca="false">$C$5*$C$6*$C$7*$C$8</f>
        <v>16500</v>
      </c>
      <c r="E19" s="12" t="n">
        <f aca="false">$C$5*$C$6*$C$7*$C$8</f>
        <v>16500</v>
      </c>
      <c r="F19" s="12" t="n">
        <f aca="false">$C$5*$C$6*$C$7*$C$8</f>
        <v>16500</v>
      </c>
      <c r="G19" s="12" t="n">
        <f aca="false">$C$5*$C$6*$C$7*$C$8</f>
        <v>16500</v>
      </c>
      <c r="H19" s="12" t="n">
        <f aca="false">$C$5*$C$6*$C$7*$C$8</f>
        <v>16500</v>
      </c>
      <c r="I19" s="12" t="n">
        <f aca="false">$C$5*$C$6*$C$7*$C$8</f>
        <v>16500</v>
      </c>
      <c r="J19" s="12" t="n">
        <f aca="false">$C$5*$C$6*$C$7*$C$8</f>
        <v>16500</v>
      </c>
      <c r="K19" s="12" t="n">
        <f aca="false">$C$5*$C$6*$C$7*$C$8</f>
        <v>16500</v>
      </c>
      <c r="L19" s="12" t="n">
        <f aca="false">$C$5*$C$6*$C$7*$C$8</f>
        <v>16500</v>
      </c>
      <c r="M19" s="12" t="n">
        <f aca="false">$C$5*$C$6*$C$7*$C$8</f>
        <v>16500</v>
      </c>
      <c r="N19" s="12" t="n">
        <f aca="false">$C$5*$C$6*$C$7*$C$8</f>
        <v>16500</v>
      </c>
      <c r="O19" s="12" t="n">
        <f aca="false">$C$5*$C$6*$C$7*$C$8</f>
        <v>16500</v>
      </c>
      <c r="P19" s="12" t="n">
        <f aca="false">SUM(D19:O19)</f>
        <v>198000</v>
      </c>
    </row>
    <row r="20" customFormat="false" ht="13.8" hidden="false" customHeight="false" outlineLevel="0" collapsed="false">
      <c r="B20" s="11" t="s">
        <v>30</v>
      </c>
      <c r="D20" s="12" t="n">
        <f aca="false">$C$9*$C$10</f>
        <v>0</v>
      </c>
      <c r="E20" s="12" t="n">
        <f aca="false">$C$9*$C$10</f>
        <v>0</v>
      </c>
      <c r="F20" s="12" t="n">
        <f aca="false">$C$9*$C$10</f>
        <v>0</v>
      </c>
      <c r="G20" s="12" t="n">
        <f aca="false">$C$9*$C$10</f>
        <v>0</v>
      </c>
      <c r="H20" s="12" t="n">
        <f aca="false">$C$9*$C$10</f>
        <v>0</v>
      </c>
      <c r="I20" s="12" t="n">
        <f aca="false">$C$9*$C$10</f>
        <v>0</v>
      </c>
      <c r="J20" s="12" t="n">
        <f aca="false">$C$9*$C$10</f>
        <v>0</v>
      </c>
      <c r="K20" s="12" t="n">
        <f aca="false">$C$9*$C$10</f>
        <v>0</v>
      </c>
      <c r="L20" s="12" t="n">
        <f aca="false">$C$9*$C$10</f>
        <v>0</v>
      </c>
      <c r="M20" s="12" t="n">
        <f aca="false">$C$9*$C$10</f>
        <v>0</v>
      </c>
      <c r="N20" s="12" t="n">
        <f aca="false">$C$9*$C$10</f>
        <v>0</v>
      </c>
      <c r="O20" s="12" t="n">
        <f aca="false">$C$9*$C$10</f>
        <v>0</v>
      </c>
      <c r="P20" s="12" t="n">
        <f aca="false">SUM(D20:O20)</f>
        <v>0</v>
      </c>
    </row>
    <row r="21" customFormat="false" ht="13.8" hidden="false" customHeight="false" outlineLevel="0" collapsed="false">
      <c r="B21" s="13" t="s">
        <v>31</v>
      </c>
      <c r="C21" s="14"/>
      <c r="D21" s="15" t="n">
        <f aca="false">D19+D20</f>
        <v>16500</v>
      </c>
      <c r="E21" s="15" t="n">
        <f aca="false">E19+E20</f>
        <v>16500</v>
      </c>
      <c r="F21" s="15" t="n">
        <f aca="false">F19+F20</f>
        <v>16500</v>
      </c>
      <c r="G21" s="15" t="n">
        <f aca="false">G19+G20</f>
        <v>16500</v>
      </c>
      <c r="H21" s="15" t="n">
        <f aca="false">H19+H20</f>
        <v>16500</v>
      </c>
      <c r="I21" s="15" t="n">
        <f aca="false">I19+I20</f>
        <v>16500</v>
      </c>
      <c r="J21" s="15" t="n">
        <f aca="false">J19+J20</f>
        <v>16500</v>
      </c>
      <c r="K21" s="15" t="n">
        <f aca="false">K19+K20</f>
        <v>16500</v>
      </c>
      <c r="L21" s="15" t="n">
        <f aca="false">L19+L20</f>
        <v>16500</v>
      </c>
      <c r="M21" s="15" t="n">
        <f aca="false">M19+M20</f>
        <v>16500</v>
      </c>
      <c r="N21" s="15" t="n">
        <f aca="false">N19+N20</f>
        <v>16500</v>
      </c>
      <c r="O21" s="15" t="n">
        <f aca="false">O19+O20</f>
        <v>16500</v>
      </c>
      <c r="P21" s="15" t="n">
        <f aca="false">SUM(D21:O21)</f>
        <v>198000</v>
      </c>
    </row>
    <row r="22" customFormat="false" ht="13.8" hidden="false" customHeight="false" outlineLevel="0" collapsed="false">
      <c r="B22" s="10" t="s">
        <v>32</v>
      </c>
    </row>
    <row r="23" customFormat="false" ht="13.8" hidden="false" customHeight="false" outlineLevel="0" collapsed="false">
      <c r="B23" s="11" t="s">
        <v>33</v>
      </c>
      <c r="D23" s="12" t="n">
        <f aca="false">($C$11*$C$5)/12</f>
        <v>2500</v>
      </c>
      <c r="E23" s="12" t="n">
        <f aca="false">($C$11*$C$5)/12</f>
        <v>2500</v>
      </c>
      <c r="F23" s="12" t="n">
        <f aca="false">($C$11*$C$5)/12</f>
        <v>2500</v>
      </c>
      <c r="G23" s="12" t="n">
        <f aca="false">($C$11*$C$5)/12</f>
        <v>2500</v>
      </c>
      <c r="H23" s="12" t="n">
        <f aca="false">($C$11*$C$5)/12</f>
        <v>2500</v>
      </c>
      <c r="I23" s="12" t="n">
        <f aca="false">($C$11*$C$5)/12</f>
        <v>2500</v>
      </c>
      <c r="J23" s="12" t="n">
        <f aca="false">($C$11*$C$5)/12</f>
        <v>2500</v>
      </c>
      <c r="K23" s="12" t="n">
        <f aca="false">($C$11*$C$5)/12</f>
        <v>2500</v>
      </c>
      <c r="L23" s="12" t="n">
        <f aca="false">($C$11*$C$5)/12</f>
        <v>2500</v>
      </c>
      <c r="M23" s="12" t="n">
        <f aca="false">($C$11*$C$5)/12</f>
        <v>2500</v>
      </c>
      <c r="N23" s="12" t="n">
        <f aca="false">($C$11*$C$5)/12</f>
        <v>2500</v>
      </c>
      <c r="O23" s="12" t="n">
        <f aca="false">($C$11*$C$5)/12</f>
        <v>2500</v>
      </c>
      <c r="P23" s="12" t="n">
        <f aca="false">SUM(D23:O23)</f>
        <v>30000</v>
      </c>
    </row>
    <row r="24" customFormat="false" ht="13.8" hidden="false" customHeight="false" outlineLevel="0" collapsed="false">
      <c r="B24" s="11" t="s">
        <v>34</v>
      </c>
      <c r="D24" s="12" t="n">
        <f aca="false">($C$12*$C$5)/12</f>
        <v>1000</v>
      </c>
      <c r="E24" s="12" t="n">
        <f aca="false">($C$12*$C$5)/12</f>
        <v>1000</v>
      </c>
      <c r="F24" s="12" t="n">
        <f aca="false">($C$12*$C$5)/12</f>
        <v>1000</v>
      </c>
      <c r="G24" s="12" t="n">
        <f aca="false">($C$12*$C$5)/12</f>
        <v>1000</v>
      </c>
      <c r="H24" s="12" t="n">
        <f aca="false">($C$12*$C$5)/12</f>
        <v>1000</v>
      </c>
      <c r="I24" s="12" t="n">
        <f aca="false">($C$12*$C$5)/12</f>
        <v>1000</v>
      </c>
      <c r="J24" s="12" t="n">
        <f aca="false">($C$12*$C$5)/12</f>
        <v>1000</v>
      </c>
      <c r="K24" s="12" t="n">
        <f aca="false">($C$12*$C$5)/12</f>
        <v>1000</v>
      </c>
      <c r="L24" s="12" t="n">
        <f aca="false">($C$12*$C$5)/12</f>
        <v>1000</v>
      </c>
      <c r="M24" s="12" t="n">
        <f aca="false">($C$12*$C$5)/12</f>
        <v>1000</v>
      </c>
      <c r="N24" s="12" t="n">
        <f aca="false">($C$12*$C$5)/12</f>
        <v>1000</v>
      </c>
      <c r="O24" s="12" t="n">
        <f aca="false">($C$12*$C$5)/12</f>
        <v>1000</v>
      </c>
      <c r="P24" s="12" t="n">
        <f aca="false">SUM(D24:O24)</f>
        <v>12000</v>
      </c>
    </row>
    <row r="25" customFormat="false" ht="13.8" hidden="false" customHeight="false" outlineLevel="0" collapsed="false">
      <c r="B25" s="11" t="s">
        <v>35</v>
      </c>
      <c r="D25" s="12" t="n">
        <f aca="false">($C$13*$C$5)/12</f>
        <v>500</v>
      </c>
      <c r="E25" s="12" t="n">
        <f aca="false">($C$13*$C$5)/12</f>
        <v>500</v>
      </c>
      <c r="F25" s="12" t="n">
        <f aca="false">($C$13*$C$5)/12</f>
        <v>500</v>
      </c>
      <c r="G25" s="12" t="n">
        <f aca="false">($C$13*$C$5)/12</f>
        <v>500</v>
      </c>
      <c r="H25" s="12" t="n">
        <f aca="false">($C$13*$C$5)/12</f>
        <v>500</v>
      </c>
      <c r="I25" s="12" t="n">
        <f aca="false">($C$13*$C$5)/12</f>
        <v>500</v>
      </c>
      <c r="J25" s="12" t="n">
        <f aca="false">($C$13*$C$5)/12</f>
        <v>500</v>
      </c>
      <c r="K25" s="12" t="n">
        <f aca="false">($C$13*$C$5)/12</f>
        <v>500</v>
      </c>
      <c r="L25" s="12" t="n">
        <f aca="false">($C$13*$C$5)/12</f>
        <v>500</v>
      </c>
      <c r="M25" s="12" t="n">
        <f aca="false">($C$13*$C$5)/12</f>
        <v>500</v>
      </c>
      <c r="N25" s="12" t="n">
        <f aca="false">($C$13*$C$5)/12</f>
        <v>500</v>
      </c>
      <c r="O25" s="12" t="n">
        <f aca="false">($C$13*$C$5)/12</f>
        <v>500</v>
      </c>
      <c r="P25" s="12" t="n">
        <f aca="false">SUM(D25:O25)</f>
        <v>6000</v>
      </c>
    </row>
    <row r="26" customFormat="false" ht="13.8" hidden="false" customHeight="false" outlineLevel="0" collapsed="false">
      <c r="B26" s="11" t="s">
        <v>36</v>
      </c>
      <c r="D26" s="12" t="n">
        <f aca="false">($C$14*$C$5)/12</f>
        <v>3333.33333333333</v>
      </c>
      <c r="E26" s="12" t="n">
        <f aca="false">($C$14*$C$5)/12</f>
        <v>3333.33333333333</v>
      </c>
      <c r="F26" s="12" t="n">
        <f aca="false">($C$14*$C$5)/12</f>
        <v>3333.33333333333</v>
      </c>
      <c r="G26" s="12" t="n">
        <f aca="false">($C$14*$C$5)/12</f>
        <v>3333.33333333333</v>
      </c>
      <c r="H26" s="12" t="n">
        <f aca="false">($C$14*$C$5)/12</f>
        <v>3333.33333333333</v>
      </c>
      <c r="I26" s="12" t="n">
        <f aca="false">($C$14*$C$5)/12</f>
        <v>3333.33333333333</v>
      </c>
      <c r="J26" s="12" t="n">
        <f aca="false">($C$14*$C$5)/12</f>
        <v>3333.33333333333</v>
      </c>
      <c r="K26" s="12" t="n">
        <f aca="false">($C$14*$C$5)/12</f>
        <v>3333.33333333333</v>
      </c>
      <c r="L26" s="12" t="n">
        <f aca="false">($C$14*$C$5)/12</f>
        <v>3333.33333333333</v>
      </c>
      <c r="M26" s="12" t="n">
        <f aca="false">($C$14*$C$5)/12</f>
        <v>3333.33333333333</v>
      </c>
      <c r="N26" s="12" t="n">
        <f aca="false">($C$14*$C$5)/12</f>
        <v>3333.33333333333</v>
      </c>
      <c r="O26" s="12" t="n">
        <f aca="false">($C$14*$C$5)/12</f>
        <v>3333.33333333333</v>
      </c>
      <c r="P26" s="12" t="n">
        <f aca="false">SUM(D26:O26)</f>
        <v>40000</v>
      </c>
    </row>
    <row r="27" customFormat="false" ht="13.8" hidden="false" customHeight="false" outlineLevel="0" collapsed="false">
      <c r="B27" s="13" t="s">
        <v>37</v>
      </c>
      <c r="C27" s="14"/>
      <c r="D27" s="15" t="n">
        <f aca="false">SUM(D23:D26)</f>
        <v>7333.33333333333</v>
      </c>
      <c r="E27" s="15" t="n">
        <f aca="false">SUM(E23:E26)</f>
        <v>7333.33333333333</v>
      </c>
      <c r="F27" s="15" t="n">
        <f aca="false">SUM(F23:F26)</f>
        <v>7333.33333333333</v>
      </c>
      <c r="G27" s="15" t="n">
        <f aca="false">SUM(G23:G26)</f>
        <v>7333.33333333333</v>
      </c>
      <c r="H27" s="15" t="n">
        <f aca="false">SUM(H23:H26)</f>
        <v>7333.33333333333</v>
      </c>
      <c r="I27" s="15" t="n">
        <f aca="false">SUM(I23:I26)</f>
        <v>7333.33333333333</v>
      </c>
      <c r="J27" s="15" t="n">
        <f aca="false">SUM(J23:J26)</f>
        <v>7333.33333333333</v>
      </c>
      <c r="K27" s="15" t="n">
        <f aca="false">SUM(K23:K26)</f>
        <v>7333.33333333333</v>
      </c>
      <c r="L27" s="15" t="n">
        <f aca="false">SUM(L23:L26)</f>
        <v>7333.33333333333</v>
      </c>
      <c r="M27" s="15" t="n">
        <f aca="false">SUM(M23:M26)</f>
        <v>7333.33333333333</v>
      </c>
      <c r="N27" s="15" t="n">
        <f aca="false">SUM(N23:N26)</f>
        <v>7333.33333333333</v>
      </c>
      <c r="O27" s="15" t="n">
        <f aca="false">SUM(O23:O26)</f>
        <v>7333.33333333333</v>
      </c>
      <c r="P27" s="15" t="n">
        <f aca="false">SUM(D27:O27)</f>
        <v>88000</v>
      </c>
    </row>
    <row r="28" customFormat="false" ht="13.8" hidden="false" customHeight="false" outlineLevel="0" collapsed="false">
      <c r="B28" s="10" t="s">
        <v>38</v>
      </c>
    </row>
    <row r="29" customFormat="false" ht="13.8" hidden="false" customHeight="false" outlineLevel="0" collapsed="false">
      <c r="B29" s="11" t="s">
        <v>39</v>
      </c>
      <c r="D29" s="12" t="n">
        <f aca="false">$C$15/12</f>
        <v>250</v>
      </c>
      <c r="E29" s="12" t="n">
        <f aca="false">$C$15/12</f>
        <v>250</v>
      </c>
      <c r="F29" s="12" t="n">
        <f aca="false">$C$15/12</f>
        <v>250</v>
      </c>
      <c r="G29" s="12" t="n">
        <f aca="false">$C$15/12</f>
        <v>250</v>
      </c>
      <c r="H29" s="12" t="n">
        <f aca="false">$C$15/12</f>
        <v>250</v>
      </c>
      <c r="I29" s="12" t="n">
        <f aca="false">$C$15/12</f>
        <v>250</v>
      </c>
      <c r="J29" s="12" t="n">
        <f aca="false">$C$15/12</f>
        <v>250</v>
      </c>
      <c r="K29" s="12" t="n">
        <f aca="false">$C$15/12</f>
        <v>250</v>
      </c>
      <c r="L29" s="12" t="n">
        <f aca="false">$C$15/12</f>
        <v>250</v>
      </c>
      <c r="M29" s="12" t="n">
        <f aca="false">$C$15/12</f>
        <v>250</v>
      </c>
      <c r="N29" s="12" t="n">
        <f aca="false">$C$15/12</f>
        <v>250</v>
      </c>
      <c r="O29" s="12" t="n">
        <f aca="false">$C$15/12</f>
        <v>250</v>
      </c>
      <c r="P29" s="12" t="n">
        <f aca="false">SUM(D29:O29)</f>
        <v>3000</v>
      </c>
    </row>
    <row r="30" customFormat="false" ht="13.8" hidden="false" customHeight="false" outlineLevel="0" collapsed="false">
      <c r="B30" s="11" t="s">
        <v>40</v>
      </c>
      <c r="D30" s="12" t="n">
        <f aca="false">$C$16/12</f>
        <v>1000</v>
      </c>
      <c r="E30" s="12" t="n">
        <f aca="false">$C$16/12</f>
        <v>1000</v>
      </c>
      <c r="F30" s="12" t="n">
        <f aca="false">$C$16/12</f>
        <v>1000</v>
      </c>
      <c r="G30" s="12" t="n">
        <f aca="false">$C$16/12</f>
        <v>1000</v>
      </c>
      <c r="H30" s="12" t="n">
        <f aca="false">$C$16/12</f>
        <v>1000</v>
      </c>
      <c r="I30" s="12" t="n">
        <f aca="false">$C$16/12</f>
        <v>1000</v>
      </c>
      <c r="J30" s="12" t="n">
        <f aca="false">$C$16/12</f>
        <v>1000</v>
      </c>
      <c r="K30" s="12" t="n">
        <f aca="false">$C$16/12</f>
        <v>1000</v>
      </c>
      <c r="L30" s="12" t="n">
        <f aca="false">$C$16/12</f>
        <v>1000</v>
      </c>
      <c r="M30" s="12" t="n">
        <f aca="false">$C$16/12</f>
        <v>1000</v>
      </c>
      <c r="N30" s="12" t="n">
        <f aca="false">$C$16/12</f>
        <v>1000</v>
      </c>
      <c r="O30" s="12" t="n">
        <f aca="false">$C$16/12</f>
        <v>1000</v>
      </c>
      <c r="P30" s="12" t="n">
        <f aca="false">SUM(D30:O30)</f>
        <v>12000</v>
      </c>
    </row>
    <row r="31" customFormat="false" ht="13.8" hidden="false" customHeight="false" outlineLevel="0" collapsed="false">
      <c r="B31" s="13" t="s">
        <v>41</v>
      </c>
      <c r="C31" s="14"/>
      <c r="D31" s="15" t="n">
        <f aca="false">SUM(D29:D30)</f>
        <v>1250</v>
      </c>
      <c r="E31" s="15" t="n">
        <f aca="false">SUM(E29:E30)</f>
        <v>1250</v>
      </c>
      <c r="F31" s="15" t="n">
        <f aca="false">SUM(F29:F30)</f>
        <v>1250</v>
      </c>
      <c r="G31" s="15" t="n">
        <f aca="false">SUM(G29:G30)</f>
        <v>1250</v>
      </c>
      <c r="H31" s="15" t="n">
        <f aca="false">SUM(H29:H30)</f>
        <v>1250</v>
      </c>
      <c r="I31" s="15" t="n">
        <f aca="false">SUM(I29:I30)</f>
        <v>1250</v>
      </c>
      <c r="J31" s="15" t="n">
        <f aca="false">SUM(J29:J30)</f>
        <v>1250</v>
      </c>
      <c r="K31" s="15" t="n">
        <f aca="false">SUM(K29:K30)</f>
        <v>1250</v>
      </c>
      <c r="L31" s="15" t="n">
        <f aca="false">SUM(L29:L30)</f>
        <v>1250</v>
      </c>
      <c r="M31" s="15" t="n">
        <f aca="false">SUM(M29:M30)</f>
        <v>1250</v>
      </c>
      <c r="N31" s="15" t="n">
        <f aca="false">SUM(N29:N30)</f>
        <v>1250</v>
      </c>
      <c r="O31" s="15" t="n">
        <f aca="false">SUM(O29:O30)</f>
        <v>1250</v>
      </c>
      <c r="P31" s="15" t="n">
        <f aca="false">SUM(D31:O31)</f>
        <v>15000</v>
      </c>
    </row>
    <row r="32" customFormat="false" ht="13.8" hidden="false" customHeight="false" outlineLevel="0" collapsed="false">
      <c r="B32" s="11"/>
    </row>
    <row r="33" customFormat="false" ht="13.8" hidden="false" customHeight="false" outlineLevel="0" collapsed="false">
      <c r="B33" s="13" t="s">
        <v>42</v>
      </c>
      <c r="C33" s="14"/>
      <c r="D33" s="15" t="n">
        <f aca="false">D21-D27</f>
        <v>9166.66666666667</v>
      </c>
      <c r="E33" s="15" t="n">
        <f aca="false">E21-E27</f>
        <v>9166.66666666667</v>
      </c>
      <c r="F33" s="15" t="n">
        <f aca="false">F21-F27</f>
        <v>9166.66666666667</v>
      </c>
      <c r="G33" s="15" t="n">
        <f aca="false">G21-G27</f>
        <v>9166.66666666667</v>
      </c>
      <c r="H33" s="15" t="n">
        <f aca="false">H21-H27</f>
        <v>9166.66666666667</v>
      </c>
      <c r="I33" s="15" t="n">
        <f aca="false">I21-I27</f>
        <v>9166.66666666667</v>
      </c>
      <c r="J33" s="15" t="n">
        <f aca="false">J21-J27</f>
        <v>9166.66666666667</v>
      </c>
      <c r="K33" s="15" t="n">
        <f aca="false">K21-K27</f>
        <v>9166.66666666667</v>
      </c>
      <c r="L33" s="15" t="n">
        <f aca="false">L21-L27</f>
        <v>9166.66666666667</v>
      </c>
      <c r="M33" s="15" t="n">
        <f aca="false">M21-M27</f>
        <v>9166.66666666667</v>
      </c>
      <c r="N33" s="15" t="n">
        <f aca="false">N21-N27</f>
        <v>9166.66666666667</v>
      </c>
      <c r="O33" s="15" t="n">
        <f aca="false">O21-O27</f>
        <v>9166.66666666667</v>
      </c>
      <c r="P33" s="15" t="n">
        <f aca="false">SUM(D33:O33)</f>
        <v>110000</v>
      </c>
    </row>
    <row r="34" customFormat="false" ht="13.8" hidden="false" customHeight="false" outlineLevel="0" collapsed="false">
      <c r="B34" s="13" t="s">
        <v>43</v>
      </c>
      <c r="C34" s="14"/>
      <c r="D34" s="15" t="n">
        <f aca="false">D33-D31</f>
        <v>7916.66666666667</v>
      </c>
      <c r="E34" s="15" t="n">
        <f aca="false">E33-E31</f>
        <v>7916.66666666667</v>
      </c>
      <c r="F34" s="15" t="n">
        <f aca="false">F33-F31</f>
        <v>7916.66666666667</v>
      </c>
      <c r="G34" s="15" t="n">
        <f aca="false">G33-G31</f>
        <v>7916.66666666667</v>
      </c>
      <c r="H34" s="15" t="n">
        <f aca="false">H33-H31</f>
        <v>7916.66666666667</v>
      </c>
      <c r="I34" s="15" t="n">
        <f aca="false">I33-I31</f>
        <v>7916.66666666667</v>
      </c>
      <c r="J34" s="15" t="n">
        <f aca="false">J33-J31</f>
        <v>7916.66666666667</v>
      </c>
      <c r="K34" s="15" t="n">
        <f aca="false">K33-K31</f>
        <v>7916.66666666667</v>
      </c>
      <c r="L34" s="15" t="n">
        <f aca="false">L33-L31</f>
        <v>7916.66666666667</v>
      </c>
      <c r="M34" s="15" t="n">
        <f aca="false">M33-M31</f>
        <v>7916.66666666667</v>
      </c>
      <c r="N34" s="15" t="n">
        <f aca="false">N33-N31</f>
        <v>7916.66666666667</v>
      </c>
      <c r="O34" s="15" t="n">
        <f aca="false">O33-O31</f>
        <v>7916.66666666667</v>
      </c>
      <c r="P34" s="15" t="n">
        <f aca="false">SUM(D34:O34)</f>
        <v>95000</v>
      </c>
    </row>
    <row r="37" customFormat="false" ht="13.8" hidden="false" customHeight="false" outlineLevel="0" collapsed="false">
      <c r="B37" s="10" t="s">
        <v>44</v>
      </c>
    </row>
    <row r="38" customFormat="false" ht="13.8" hidden="false" customHeight="false" outlineLevel="0" collapsed="false">
      <c r="B38" s="1" t="s">
        <v>45</v>
      </c>
      <c r="C38" s="16" t="n">
        <f aca="false">P21</f>
        <v>198000</v>
      </c>
    </row>
    <row r="39" customFormat="false" ht="13.8" hidden="false" customHeight="false" outlineLevel="0" collapsed="false">
      <c r="B39" s="1" t="s">
        <v>46</v>
      </c>
      <c r="C39" s="16" t="n">
        <f aca="false">P27</f>
        <v>88000</v>
      </c>
    </row>
    <row r="40" customFormat="false" ht="13.8" hidden="false" customHeight="false" outlineLevel="0" collapsed="false">
      <c r="B40" s="1" t="s">
        <v>47</v>
      </c>
      <c r="C40" s="16" t="n">
        <f aca="false">P31</f>
        <v>15000</v>
      </c>
    </row>
    <row r="41" customFormat="false" ht="13.8" hidden="false" customHeight="false" outlineLevel="0" collapsed="false">
      <c r="B41" s="1" t="s">
        <v>48</v>
      </c>
      <c r="C41" s="17" t="n">
        <f aca="false">P34</f>
        <v>95000</v>
      </c>
    </row>
    <row r="42" customFormat="false" ht="13.8" hidden="false" customHeight="false" outlineLevel="0" collapsed="false">
      <c r="B42" s="1" t="s">
        <v>49</v>
      </c>
      <c r="C42" s="18" t="n">
        <f aca="false">P34/P21</f>
        <v>0.47979797979798</v>
      </c>
    </row>
    <row r="43" customFormat="false" ht="13.8" hidden="false" customHeight="false" outlineLevel="0" collapsed="false">
      <c r="B43" s="1" t="s">
        <v>50</v>
      </c>
      <c r="C43" s="17" t="n">
        <f aca="false">P21/$C$5</f>
        <v>19800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3.73"/>
    <col collapsed="false" customWidth="true" hidden="false" outlineLevel="0" max="4" min="3" style="1" width="10.54"/>
    <col collapsed="false" customWidth="true" hidden="false" outlineLevel="0" max="16" min="16" style="1" width="10.18"/>
  </cols>
  <sheetData>
    <row r="1" customFormat="false" ht="13.8" hidden="false" customHeight="false" outlineLevel="0" collapsed="false">
      <c r="A1" s="2" t="s">
        <v>0</v>
      </c>
    </row>
    <row r="2" customFormat="false" ht="13.8" hidden="false" customHeight="false" outlineLevel="0" collapsed="false">
      <c r="A2" s="3" t="s">
        <v>51</v>
      </c>
    </row>
    <row r="3" customFormat="false" ht="13.8" hidden="false" customHeight="false" outlineLevel="0" collapsed="false"/>
    <row r="4" customFormat="false" ht="13.8" hidden="false" customHeight="false" outlineLevel="0" collapsed="false">
      <c r="D4" s="5" t="n">
        <v>2026</v>
      </c>
      <c r="E4" s="19"/>
      <c r="F4" s="19"/>
      <c r="G4" s="5"/>
      <c r="H4" s="19"/>
      <c r="I4" s="19"/>
      <c r="J4" s="19"/>
      <c r="K4" s="19"/>
      <c r="L4" s="19"/>
      <c r="M4" s="19"/>
      <c r="N4" s="19"/>
      <c r="O4" s="19"/>
      <c r="P4" s="5"/>
      <c r="Q4" s="5"/>
    </row>
    <row r="5" customFormat="false" ht="13.8" hidden="false" customHeight="false" outlineLevel="0" collapsed="false"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52</v>
      </c>
    </row>
    <row r="6" customFormat="false" ht="13.8" hidden="false" customHeight="false" outlineLevel="0" collapsed="false">
      <c r="A6" s="1" t="s">
        <v>31</v>
      </c>
      <c r="D6" s="20" t="n">
        <f aca="false">'Revenue Build'!D21</f>
        <v>16500</v>
      </c>
      <c r="E6" s="20" t="n">
        <f aca="false">'Revenue Build'!E21</f>
        <v>16500</v>
      </c>
      <c r="F6" s="20" t="n">
        <f aca="false">'Revenue Build'!F21</f>
        <v>16500</v>
      </c>
      <c r="G6" s="20" t="n">
        <f aca="false">'Revenue Build'!G21</f>
        <v>16500</v>
      </c>
      <c r="H6" s="20" t="n">
        <f aca="false">'Revenue Build'!H21</f>
        <v>16500</v>
      </c>
      <c r="I6" s="20" t="n">
        <f aca="false">'Revenue Build'!I21</f>
        <v>16500</v>
      </c>
      <c r="J6" s="20" t="n">
        <f aca="false">'Revenue Build'!J21</f>
        <v>16500</v>
      </c>
      <c r="K6" s="20" t="n">
        <f aca="false">'Revenue Build'!K21</f>
        <v>16500</v>
      </c>
      <c r="L6" s="20" t="n">
        <f aca="false">'Revenue Build'!L21</f>
        <v>16500</v>
      </c>
      <c r="M6" s="20" t="n">
        <f aca="false">'Revenue Build'!M21</f>
        <v>16500</v>
      </c>
      <c r="N6" s="20" t="n">
        <f aca="false">'Revenue Build'!N21</f>
        <v>16500</v>
      </c>
      <c r="O6" s="20" t="n">
        <f aca="false">'Revenue Build'!O21</f>
        <v>16500</v>
      </c>
      <c r="P6" s="20" t="n">
        <f aca="false">SUM(D6:O6)</f>
        <v>198000</v>
      </c>
      <c r="Q6" s="21" t="n">
        <f aca="false">1</f>
        <v>1</v>
      </c>
    </row>
    <row r="7" customFormat="false" ht="13.8" hidden="false" customHeight="false" outlineLevel="0" collapsed="false"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3"/>
    </row>
    <row r="8" customFormat="false" ht="13.8" hidden="false" customHeight="false" outlineLevel="0" collapsed="false">
      <c r="A8" s="1" t="s">
        <v>53</v>
      </c>
      <c r="D8" s="20" t="n">
        <f aca="false">'Revenue Build'!D27</f>
        <v>7333.33333333333</v>
      </c>
      <c r="E8" s="20" t="n">
        <f aca="false">'Revenue Build'!E27</f>
        <v>7333.33333333333</v>
      </c>
      <c r="F8" s="20" t="n">
        <f aca="false">'Revenue Build'!F27</f>
        <v>7333.33333333333</v>
      </c>
      <c r="G8" s="20" t="n">
        <f aca="false">'Revenue Build'!G27</f>
        <v>7333.33333333333</v>
      </c>
      <c r="H8" s="20" t="n">
        <f aca="false">'Revenue Build'!H27</f>
        <v>7333.33333333333</v>
      </c>
      <c r="I8" s="20" t="n">
        <f aca="false">'Revenue Build'!I27</f>
        <v>7333.33333333333</v>
      </c>
      <c r="J8" s="20" t="n">
        <f aca="false">'Revenue Build'!J27</f>
        <v>7333.33333333333</v>
      </c>
      <c r="K8" s="20" t="n">
        <f aca="false">'Revenue Build'!K27</f>
        <v>7333.33333333333</v>
      </c>
      <c r="L8" s="20" t="n">
        <f aca="false">'Revenue Build'!L27</f>
        <v>7333.33333333333</v>
      </c>
      <c r="M8" s="20" t="n">
        <f aca="false">'Revenue Build'!M27</f>
        <v>7333.33333333333</v>
      </c>
      <c r="N8" s="20" t="n">
        <f aca="false">'Revenue Build'!N27</f>
        <v>7333.33333333333</v>
      </c>
      <c r="O8" s="20" t="n">
        <f aca="false">'Revenue Build'!O27</f>
        <v>7333.33333333333</v>
      </c>
      <c r="P8" s="20" t="n">
        <f aca="false">SUM(D8:O8)</f>
        <v>88000</v>
      </c>
      <c r="Q8" s="21" t="n">
        <f aca="false">IF($P$6=0,0,P8/$P$6)</f>
        <v>0.444444444444444</v>
      </c>
    </row>
    <row r="9" customFormat="false" ht="13.8" hidden="false" customHeight="false" outlineLevel="0" collapsed="false">
      <c r="A9" s="1" t="s">
        <v>54</v>
      </c>
      <c r="D9" s="20" t="n">
        <f aca="false">D6-D8</f>
        <v>9166.66666666667</v>
      </c>
      <c r="E9" s="20" t="n">
        <f aca="false">E6-E8</f>
        <v>9166.66666666667</v>
      </c>
      <c r="F9" s="20" t="n">
        <f aca="false">F6-F8</f>
        <v>9166.66666666667</v>
      </c>
      <c r="G9" s="20" t="n">
        <f aca="false">G6-G8</f>
        <v>9166.66666666667</v>
      </c>
      <c r="H9" s="20" t="n">
        <f aca="false">H6-H8</f>
        <v>9166.66666666667</v>
      </c>
      <c r="I9" s="20" t="n">
        <f aca="false">I6-I8</f>
        <v>9166.66666666667</v>
      </c>
      <c r="J9" s="20" t="n">
        <f aca="false">J6-J8</f>
        <v>9166.66666666667</v>
      </c>
      <c r="K9" s="20" t="n">
        <f aca="false">K6-K8</f>
        <v>9166.66666666667</v>
      </c>
      <c r="L9" s="20" t="n">
        <f aca="false">L6-L8</f>
        <v>9166.66666666667</v>
      </c>
      <c r="M9" s="20" t="n">
        <f aca="false">M6-M8</f>
        <v>9166.66666666667</v>
      </c>
      <c r="N9" s="20" t="n">
        <f aca="false">N6-N8</f>
        <v>9166.66666666667</v>
      </c>
      <c r="O9" s="20" t="n">
        <f aca="false">O6-O8</f>
        <v>9166.66666666667</v>
      </c>
      <c r="P9" s="20" t="n">
        <f aca="false">SUM(D9:O9)</f>
        <v>110000</v>
      </c>
      <c r="Q9" s="21" t="n">
        <f aca="false">IF($P$6=0,0,P9/$P$6)</f>
        <v>0.555555555555556</v>
      </c>
    </row>
    <row r="10" customFormat="false" ht="13.8" hidden="false" customHeight="false" outlineLevel="0" collapsed="false"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3"/>
    </row>
    <row r="11" customFormat="false" ht="13.8" hidden="false" customHeight="false" outlineLevel="0" collapsed="false">
      <c r="B11" s="1" t="s">
        <v>38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3"/>
    </row>
    <row r="12" customFormat="false" ht="13.8" hidden="false" customHeight="false" outlineLevel="0" collapsed="false">
      <c r="B12" s="1" t="s">
        <v>39</v>
      </c>
      <c r="D12" s="20" t="n">
        <f aca="false">'Revenue Build'!D29</f>
        <v>250</v>
      </c>
      <c r="E12" s="20" t="n">
        <f aca="false">'Revenue Build'!E29</f>
        <v>250</v>
      </c>
      <c r="F12" s="20" t="n">
        <f aca="false">'Revenue Build'!F29</f>
        <v>250</v>
      </c>
      <c r="G12" s="20" t="n">
        <f aca="false">'Revenue Build'!G29</f>
        <v>250</v>
      </c>
      <c r="H12" s="20" t="n">
        <f aca="false">'Revenue Build'!H29</f>
        <v>250</v>
      </c>
      <c r="I12" s="20" t="n">
        <f aca="false">'Revenue Build'!I29</f>
        <v>250</v>
      </c>
      <c r="J12" s="20" t="n">
        <f aca="false">'Revenue Build'!J29</f>
        <v>250</v>
      </c>
      <c r="K12" s="20" t="n">
        <f aca="false">'Revenue Build'!K29</f>
        <v>250</v>
      </c>
      <c r="L12" s="20" t="n">
        <f aca="false">'Revenue Build'!L29</f>
        <v>250</v>
      </c>
      <c r="M12" s="20" t="n">
        <f aca="false">'Revenue Build'!M29</f>
        <v>250</v>
      </c>
      <c r="N12" s="20" t="n">
        <f aca="false">'Revenue Build'!N29</f>
        <v>250</v>
      </c>
      <c r="O12" s="20" t="n">
        <f aca="false">'Revenue Build'!O29</f>
        <v>250</v>
      </c>
      <c r="P12" s="20" t="n">
        <f aca="false">SUM(D12:O12)</f>
        <v>3000</v>
      </c>
      <c r="Q12" s="21" t="n">
        <f aca="false">IF($P$6=0,0,P12/$P$6)</f>
        <v>0.0151515151515152</v>
      </c>
    </row>
    <row r="13" customFormat="false" ht="13.8" hidden="false" customHeight="false" outlineLevel="0" collapsed="false">
      <c r="B13" s="1" t="s">
        <v>40</v>
      </c>
      <c r="D13" s="20" t="n">
        <f aca="false">'Revenue Build'!D30</f>
        <v>1000</v>
      </c>
      <c r="E13" s="20" t="n">
        <f aca="false">'Revenue Build'!E30</f>
        <v>1000</v>
      </c>
      <c r="F13" s="20" t="n">
        <f aca="false">'Revenue Build'!F30</f>
        <v>1000</v>
      </c>
      <c r="G13" s="20" t="n">
        <f aca="false">'Revenue Build'!G30</f>
        <v>1000</v>
      </c>
      <c r="H13" s="20" t="n">
        <f aca="false">'Revenue Build'!H30</f>
        <v>1000</v>
      </c>
      <c r="I13" s="20" t="n">
        <f aca="false">'Revenue Build'!I30</f>
        <v>1000</v>
      </c>
      <c r="J13" s="20" t="n">
        <f aca="false">'Revenue Build'!J30</f>
        <v>1000</v>
      </c>
      <c r="K13" s="20" t="n">
        <f aca="false">'Revenue Build'!K30</f>
        <v>1000</v>
      </c>
      <c r="L13" s="20" t="n">
        <f aca="false">'Revenue Build'!L30</f>
        <v>1000</v>
      </c>
      <c r="M13" s="20" t="n">
        <f aca="false">'Revenue Build'!M30</f>
        <v>1000</v>
      </c>
      <c r="N13" s="20" t="n">
        <f aca="false">'Revenue Build'!N30</f>
        <v>1000</v>
      </c>
      <c r="O13" s="20" t="n">
        <f aca="false">'Revenue Build'!O30</f>
        <v>1000</v>
      </c>
      <c r="P13" s="20" t="n">
        <f aca="false">SUM(D13:O13)</f>
        <v>12000</v>
      </c>
      <c r="Q13" s="21" t="n">
        <f aca="false">IF($P$6=0,0,P13/$P$6)</f>
        <v>0.0606060606060606</v>
      </c>
    </row>
    <row r="14" customFormat="false" ht="13.8" hidden="false" customHeight="false" outlineLevel="0" collapsed="false">
      <c r="B14" s="1" t="s">
        <v>55</v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0</v>
      </c>
      <c r="N14" s="20" t="n">
        <v>0</v>
      </c>
      <c r="O14" s="20" t="n">
        <v>0</v>
      </c>
      <c r="P14" s="20" t="n">
        <f aca="false">SUM(D14:O14)</f>
        <v>0</v>
      </c>
      <c r="Q14" s="21" t="n">
        <f aca="false">IF($P$6=0,0,P14/$P$6)</f>
        <v>0</v>
      </c>
    </row>
    <row r="15" customFormat="false" ht="13.8" hidden="false" customHeight="false" outlineLevel="0" collapsed="false">
      <c r="B15" s="1" t="s">
        <v>56</v>
      </c>
      <c r="D15" s="20" t="n">
        <v>0</v>
      </c>
      <c r="E15" s="20" t="n">
        <v>0</v>
      </c>
      <c r="F15" s="20" t="n">
        <v>0</v>
      </c>
      <c r="G15" s="20" t="n">
        <v>0</v>
      </c>
      <c r="H15" s="20" t="n">
        <v>0</v>
      </c>
      <c r="I15" s="20" t="n">
        <v>0</v>
      </c>
      <c r="J15" s="20" t="n">
        <v>0</v>
      </c>
      <c r="K15" s="20" t="n">
        <v>0</v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f aca="false">SUM(D15:O15)</f>
        <v>0</v>
      </c>
      <c r="Q15" s="21" t="n">
        <f aca="false">IF($P$6=0,0,P15/$P$6)</f>
        <v>0</v>
      </c>
    </row>
    <row r="16" customFormat="false" ht="13.8" hidden="false" customHeight="false" outlineLevel="0" collapsed="false"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1"/>
    </row>
    <row r="17" customFormat="false" ht="13.8" hidden="false" customHeight="false" outlineLevel="0" collapsed="false"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1"/>
    </row>
    <row r="18" customFormat="false" ht="13.8" hidden="false" customHeight="false" outlineLevel="0" collapsed="false"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1"/>
    </row>
    <row r="19" customFormat="false" ht="13.8" hidden="false" customHeight="false" outlineLevel="0" collapsed="false"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1"/>
    </row>
    <row r="20" customFormat="false" ht="13.8" hidden="false" customHeight="false" outlineLevel="0" collapsed="false"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1"/>
    </row>
    <row r="21" customFormat="false" ht="13.8" hidden="false" customHeight="false" outlineLevel="0" collapsed="false"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1"/>
    </row>
    <row r="22" customFormat="false" ht="13.8" hidden="false" customHeight="false" outlineLevel="0" collapsed="false"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1"/>
    </row>
    <row r="23" customFormat="false" ht="13.8" hidden="false" customHeight="false" outlineLevel="0" collapsed="false"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1"/>
    </row>
    <row r="24" customFormat="false" ht="13.8" hidden="false" customHeight="false" outlineLevel="0" collapsed="false"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1"/>
    </row>
    <row r="25" customFormat="false" ht="13.8" hidden="false" customHeight="false" outlineLevel="0" collapsed="false"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1"/>
    </row>
    <row r="26" customFormat="false" ht="13.8" hidden="false" customHeight="false" outlineLevel="0" collapsed="false"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1"/>
    </row>
    <row r="27" s="24" customFormat="true" ht="13.8" hidden="false" customHeight="false" outlineLevel="0" collapsed="false"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6"/>
    </row>
    <row r="28" customFormat="false" ht="13.8" hidden="false" customHeight="false" outlineLevel="0" collapsed="false"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1"/>
    </row>
    <row r="29" customFormat="false" ht="13.8" hidden="false" customHeight="false" outlineLevel="0" collapsed="false"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1"/>
    </row>
    <row r="30" customFormat="false" ht="13.8" hidden="false" customHeight="false" outlineLevel="0" collapsed="false"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1"/>
    </row>
    <row r="31" customFormat="false" ht="13.8" hidden="false" customHeight="false" outlineLevel="0" collapsed="false"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1"/>
    </row>
    <row r="32" customFormat="false" ht="13.8" hidden="false" customHeight="false" outlineLevel="0" collapsed="false">
      <c r="A32" s="27" t="s">
        <v>57</v>
      </c>
      <c r="B32" s="27"/>
      <c r="C32" s="27"/>
      <c r="D32" s="28" t="n">
        <f aca="false">SUM(D12:D31)</f>
        <v>1250</v>
      </c>
      <c r="E32" s="28" t="n">
        <f aca="false">SUM(E12:E31)</f>
        <v>1250</v>
      </c>
      <c r="F32" s="28" t="n">
        <f aca="false">SUM(F12:F31)</f>
        <v>1250</v>
      </c>
      <c r="G32" s="28" t="n">
        <f aca="false">SUM(G12:G31)</f>
        <v>1250</v>
      </c>
      <c r="H32" s="28" t="n">
        <f aca="false">SUM(H12:H31)</f>
        <v>1250</v>
      </c>
      <c r="I32" s="28" t="n">
        <f aca="false">SUM(I12:I31)</f>
        <v>1250</v>
      </c>
      <c r="J32" s="28" t="n">
        <f aca="false">SUM(J12:J31)</f>
        <v>1250</v>
      </c>
      <c r="K32" s="28" t="n">
        <f aca="false">SUM(K12:K31)</f>
        <v>1250</v>
      </c>
      <c r="L32" s="28" t="n">
        <f aca="false">SUM(L12:L31)</f>
        <v>1250</v>
      </c>
      <c r="M32" s="28" t="n">
        <f aca="false">SUM(M12:M31)</f>
        <v>1250</v>
      </c>
      <c r="N32" s="28" t="n">
        <f aca="false">SUM(N12:N31)</f>
        <v>1250</v>
      </c>
      <c r="O32" s="28" t="n">
        <f aca="false">SUM(O12:O31)</f>
        <v>1250</v>
      </c>
      <c r="P32" s="28" t="n">
        <f aca="false">SUM(D32:O32)</f>
        <v>15000</v>
      </c>
      <c r="Q32" s="29" t="n">
        <f aca="false">IF($P$6=0,0,P32/$P$6)</f>
        <v>0.0757575757575758</v>
      </c>
    </row>
    <row r="33" customFormat="false" ht="13.8" hidden="false" customHeight="false" outlineLevel="0" collapsed="false">
      <c r="A33" s="30" t="s">
        <v>58</v>
      </c>
      <c r="B33" s="27"/>
      <c r="C33" s="27"/>
      <c r="D33" s="28" t="n">
        <f aca="false">D9-D32</f>
        <v>7916.66666666667</v>
      </c>
      <c r="E33" s="28" t="n">
        <f aca="false">E9-E32</f>
        <v>7916.66666666667</v>
      </c>
      <c r="F33" s="28" t="n">
        <f aca="false">F9-F32</f>
        <v>7916.66666666667</v>
      </c>
      <c r="G33" s="28" t="n">
        <f aca="false">G9-G32</f>
        <v>7916.66666666667</v>
      </c>
      <c r="H33" s="28" t="n">
        <f aca="false">H9-H32</f>
        <v>7916.66666666667</v>
      </c>
      <c r="I33" s="28" t="n">
        <f aca="false">I9-I32</f>
        <v>7916.66666666667</v>
      </c>
      <c r="J33" s="28" t="n">
        <f aca="false">J9-J32</f>
        <v>7916.66666666667</v>
      </c>
      <c r="K33" s="28" t="n">
        <f aca="false">K9-K32</f>
        <v>7916.66666666667</v>
      </c>
      <c r="L33" s="28" t="n">
        <f aca="false">L9-L32</f>
        <v>7916.66666666667</v>
      </c>
      <c r="M33" s="28" t="n">
        <f aca="false">M9-M32</f>
        <v>7916.66666666667</v>
      </c>
      <c r="N33" s="28" t="n">
        <f aca="false">N9-N32</f>
        <v>7916.66666666667</v>
      </c>
      <c r="O33" s="28" t="n">
        <f aca="false">O9-O32</f>
        <v>7916.66666666667</v>
      </c>
      <c r="P33" s="28" t="n">
        <f aca="false">SUM(D33:O33)</f>
        <v>95000</v>
      </c>
      <c r="Q33" s="29" t="n">
        <f aca="false">IF($P$6=0,0,P33/$P$6)</f>
        <v>0.47979797979798</v>
      </c>
    </row>
    <row r="34" customFormat="false" ht="13.8" hidden="false" customHeight="false" outlineLevel="0" collapsed="false"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</row>
    <row r="35" customFormat="false" ht="13.8" hidden="false" customHeight="false" outlineLevel="0" collapsed="false"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2"/>
    </row>
    <row r="36" customFormat="false" ht="13.8" hidden="false" customHeight="false" outlineLevel="0" collapsed="false">
      <c r="A36" s="33" t="s">
        <v>0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2"/>
    </row>
    <row r="37" customFormat="false" ht="13.8" hidden="false" customHeight="false" outlineLevel="0" collapsed="false">
      <c r="A37" s="34" t="s">
        <v>59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2"/>
    </row>
    <row r="38" customFormat="false" ht="13.8" hidden="false" customHeight="false" outlineLevel="0" collapsed="false"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2"/>
    </row>
    <row r="39" customFormat="false" ht="13.8" hidden="false" customHeight="false" outlineLevel="0" collapsed="false">
      <c r="C39" s="5" t="s">
        <v>60</v>
      </c>
      <c r="D39" s="5"/>
      <c r="E39" s="19"/>
      <c r="F39" s="19"/>
      <c r="G39" s="5"/>
      <c r="H39" s="19"/>
      <c r="I39" s="19"/>
      <c r="J39" s="19"/>
      <c r="K39" s="19"/>
      <c r="L39" s="19"/>
      <c r="M39" s="19"/>
      <c r="N39" s="19"/>
      <c r="O39" s="19"/>
      <c r="P39" s="5"/>
    </row>
    <row r="40" customFormat="false" ht="13.8" hidden="false" customHeight="false" outlineLevel="0" collapsed="false">
      <c r="C40" s="5" t="s">
        <v>61</v>
      </c>
      <c r="D40" s="5" t="s">
        <v>62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customFormat="false" ht="13.8" hidden="false" customHeight="false" outlineLevel="0" collapsed="false">
      <c r="B41" s="1" t="s">
        <v>63</v>
      </c>
      <c r="C41" s="22"/>
      <c r="D41" s="35" t="n">
        <f aca="false">'Revenue Build'!$C$5</f>
        <v>10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36"/>
    </row>
    <row r="42" customFormat="false" ht="13.8" hidden="false" customHeight="false" outlineLevel="0" collapsed="false">
      <c r="B42" s="1" t="s">
        <v>17</v>
      </c>
      <c r="C42" s="22"/>
      <c r="D42" s="37" t="n">
        <f aca="false">'Revenue Build'!$C$6</f>
        <v>5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36"/>
    </row>
    <row r="43" customFormat="false" ht="13.8" hidden="false" customHeight="false" outlineLevel="0" collapsed="false">
      <c r="B43" s="1" t="s">
        <v>64</v>
      </c>
      <c r="C43" s="22"/>
      <c r="D43" s="38" t="n">
        <f aca="false">P6/D41/12</f>
        <v>1650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36"/>
    </row>
    <row r="44" customFormat="false" ht="13.8" hidden="false" customHeight="false" outlineLevel="0" collapsed="false">
      <c r="B44" s="1" t="s">
        <v>50</v>
      </c>
      <c r="C44" s="22"/>
      <c r="D44" s="38" t="n">
        <f aca="false">P6/D41</f>
        <v>19800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36"/>
    </row>
    <row r="45" customFormat="false" ht="13.8" hidden="false" customHeight="false" outlineLevel="0" collapsed="false">
      <c r="B45" s="1" t="s">
        <v>49</v>
      </c>
      <c r="C45" s="22"/>
      <c r="D45" s="39" t="n">
        <f aca="false">P33/P6</f>
        <v>0.47979797979798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36"/>
    </row>
    <row r="46" customFormat="false" ht="13.8" hidden="false" customHeight="false" outlineLevel="0" collapsed="false">
      <c r="B46" s="1" t="s">
        <v>65</v>
      </c>
      <c r="C46" s="22"/>
      <c r="D46" s="37" t="n">
        <f aca="false">'breakeven analysis'!C13</f>
        <v>2.6010101010101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36"/>
    </row>
    <row r="47" customFormat="false" ht="13.8" hidden="false" customHeight="false" outlineLevel="0" collapsed="false">
      <c r="B47" s="1" t="s">
        <v>45</v>
      </c>
      <c r="C47" s="22"/>
      <c r="D47" s="40" t="n">
        <f aca="false">P6</f>
        <v>198000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3"/>
    </row>
    <row r="48" customFormat="false" ht="13.8" hidden="false" customHeight="false" outlineLevel="0" collapsed="false">
      <c r="B48" s="1" t="s">
        <v>48</v>
      </c>
      <c r="C48" s="22"/>
      <c r="D48" s="40" t="n">
        <f aca="false">P33</f>
        <v>95000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3"/>
    </row>
    <row r="49" customFormat="false" ht="13.8" hidden="false" customHeight="false" outlineLevel="0" collapsed="false">
      <c r="B49" s="41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36"/>
    </row>
    <row r="50" customFormat="false" ht="13.8" hidden="false" customHeight="false" outlineLevel="0" collapsed="false">
      <c r="B50" s="4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36"/>
    </row>
    <row r="51" customFormat="false" ht="28.5" hidden="false" customHeight="true" outlineLevel="0" collapsed="false">
      <c r="B51" s="4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36"/>
    </row>
    <row r="52" customFormat="false" ht="13.8" hidden="false" customHeight="false" outlineLevel="0" collapsed="false">
      <c r="B52" s="4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36"/>
    </row>
    <row r="53" customFormat="false" ht="13.8" hidden="false" customHeight="false" outlineLevel="0" collapsed="false">
      <c r="B53" s="4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36"/>
    </row>
    <row r="54" customFormat="false" ht="13.8" hidden="false" customHeight="false" outlineLevel="0" collapsed="false">
      <c r="B54" s="4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36"/>
    </row>
    <row r="55" customFormat="false" ht="13.8" hidden="false" customHeight="false" outlineLevel="0" collapsed="false">
      <c r="B55" s="4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36"/>
    </row>
    <row r="56" customFormat="false" ht="13.8" hidden="false" customHeight="false" outlineLevel="0" collapsed="false"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36"/>
    </row>
    <row r="57" customFormat="false" ht="13.8" hidden="false" customHeight="false" outlineLevel="0" collapsed="false"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36"/>
    </row>
    <row r="58" customFormat="false" ht="13.8" hidden="false" customHeight="false" outlineLevel="0" collapsed="false">
      <c r="A58" s="34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3"/>
    </row>
    <row r="59" customFormat="false" ht="13.8" hidden="false" customHeight="false" outlineLevel="0" collapsed="false">
      <c r="C59" s="22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2"/>
    </row>
    <row r="60" customFormat="false" ht="13.8" hidden="false" customHeight="false" outlineLevel="0" collapsed="false"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2"/>
    </row>
    <row r="61" customFormat="false" ht="13.8" hidden="false" customHeight="false" outlineLevel="0" collapsed="false"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2"/>
    </row>
    <row r="62" customFormat="false" ht="13.8" hidden="false" customHeight="false" outlineLevel="0" collapsed="false"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2"/>
    </row>
    <row r="63" customFormat="false" ht="13.8" hidden="false" customHeight="false" outlineLevel="0" collapsed="false"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2"/>
    </row>
    <row r="64" customFormat="false" ht="13.8" hidden="false" customHeight="false" outlineLevel="0" collapsed="false"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2"/>
    </row>
    <row r="65" customFormat="false" ht="13.8" hidden="false" customHeight="false" outlineLevel="0" collapsed="false"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2"/>
    </row>
    <row r="66" customFormat="false" ht="13.8" hidden="false" customHeight="false" outlineLevel="0" collapsed="false"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2"/>
    </row>
    <row r="67" customFormat="false" ht="13.8" hidden="false" customHeight="false" outlineLevel="0" collapsed="false"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2"/>
    </row>
    <row r="68" customFormat="false" ht="13.8" hidden="false" customHeight="false" outlineLevel="0" collapsed="false"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2"/>
    </row>
    <row r="69" customFormat="false" ht="13.8" hidden="false" customHeight="false" outlineLevel="0" collapsed="false"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2"/>
    </row>
    <row r="70" customFormat="false" ht="13.8" hidden="false" customHeight="false" outlineLevel="0" collapsed="false"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2"/>
    </row>
    <row r="71" customFormat="false" ht="13.8" hidden="false" customHeight="false" outlineLevel="0" collapsed="false"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2"/>
    </row>
    <row r="72" customFormat="false" ht="13.8" hidden="false" customHeight="false" outlineLevel="0" collapsed="false"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2"/>
    </row>
    <row r="73" customFormat="false" ht="13.8" hidden="false" customHeight="false" outlineLevel="0" collapsed="false"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2"/>
    </row>
    <row r="74" customFormat="false" ht="13.8" hidden="false" customHeight="false" outlineLevel="0" collapsed="false"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2"/>
    </row>
    <row r="75" customFormat="false" ht="13.8" hidden="false" customHeight="false" outlineLevel="0" collapsed="false"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2"/>
    </row>
    <row r="76" customFormat="false" ht="13.8" hidden="false" customHeight="false" outlineLevel="0" collapsed="false"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2"/>
    </row>
    <row r="77" customFormat="false" ht="13.8" hidden="false" customHeight="false" outlineLevel="0" collapsed="false"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2"/>
    </row>
    <row r="78" customFormat="false" ht="13.8" hidden="false" customHeight="false" outlineLevel="0" collapsed="false"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2"/>
    </row>
    <row r="79" customFormat="false" ht="13.8" hidden="false" customHeight="false" outlineLevel="0" collapsed="false"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2"/>
    </row>
    <row r="80" customFormat="false" ht="13.8" hidden="false" customHeight="false" outlineLevel="0" collapsed="false"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2"/>
    </row>
    <row r="81" customFormat="false" ht="13.8" hidden="false" customHeight="false" outlineLevel="0" collapsed="false"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2"/>
    </row>
    <row r="82" customFormat="false" ht="13.8" hidden="false" customHeight="false" outlineLevel="0" collapsed="false"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2"/>
    </row>
    <row r="83" customFormat="false" ht="13.8" hidden="false" customHeight="false" outlineLevel="0" collapsed="false"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2"/>
    </row>
    <row r="84" customFormat="false" ht="13.8" hidden="false" customHeight="false" outlineLevel="0" collapsed="false"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2"/>
    </row>
    <row r="85" customFormat="false" ht="13.8" hidden="false" customHeight="false" outlineLevel="0" collapsed="false"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2"/>
    </row>
    <row r="86" customFormat="false" ht="13.8" hidden="false" customHeight="false" outlineLevel="0" collapsed="false"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2"/>
    </row>
    <row r="87" customFormat="false" ht="13.8" hidden="false" customHeight="false" outlineLevel="0" collapsed="false"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2"/>
    </row>
    <row r="88" customFormat="false" ht="13.8" hidden="false" customHeight="false" outlineLevel="0" collapsed="false"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2"/>
    </row>
    <row r="89" customFormat="false" ht="13.8" hidden="false" customHeight="false" outlineLevel="0" collapsed="false"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2"/>
    </row>
    <row r="90" customFormat="false" ht="13.8" hidden="false" customHeight="false" outlineLevel="0" collapsed="false"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2"/>
    </row>
    <row r="91" customFormat="false" ht="13.8" hidden="false" customHeight="false" outlineLevel="0" collapsed="false"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2"/>
    </row>
    <row r="92" customFormat="false" ht="13.8" hidden="false" customHeight="false" outlineLevel="0" collapsed="false"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2"/>
    </row>
    <row r="93" customFormat="false" ht="13.8" hidden="false" customHeight="false" outlineLevel="0" collapsed="false"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2"/>
    </row>
    <row r="94" customFormat="false" ht="13.8" hidden="false" customHeight="false" outlineLevel="0" collapsed="false"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2"/>
    </row>
    <row r="95" customFormat="false" ht="13.8" hidden="false" customHeight="false" outlineLevel="0" collapsed="false"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2"/>
    </row>
    <row r="96" customFormat="false" ht="13.8" hidden="false" customHeight="false" outlineLevel="0" collapsed="false"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2"/>
    </row>
    <row r="97" customFormat="false" ht="13.8" hidden="false" customHeight="false" outlineLevel="0" collapsed="false"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2"/>
    </row>
    <row r="98" customFormat="false" ht="13.8" hidden="false" customHeight="false" outlineLevel="0" collapsed="false"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2"/>
    </row>
    <row r="99" customFormat="false" ht="13.8" hidden="false" customHeight="false" outlineLevel="0" collapsed="false"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2"/>
    </row>
    <row r="100" customFormat="false" ht="13.8" hidden="false" customHeight="false" outlineLevel="0" collapsed="false"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2"/>
    </row>
    <row r="101" customFormat="false" ht="13.8" hidden="false" customHeight="false" outlineLevel="0" collapsed="false"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2"/>
    </row>
    <row r="102" customFormat="false" ht="13.8" hidden="false" customHeight="false" outlineLevel="0" collapsed="false"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2"/>
    </row>
    <row r="103" customFormat="false" ht="13.8" hidden="false" customHeight="false" outlineLevel="0" collapsed="false"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2"/>
    </row>
    <row r="104" customFormat="false" ht="13.8" hidden="false" customHeight="false" outlineLevel="0" collapsed="false"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2"/>
    </row>
    <row r="105" customFormat="false" ht="13.8" hidden="false" customHeight="false" outlineLevel="0" collapsed="false"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2"/>
    </row>
    <row r="106" customFormat="false" ht="13.8" hidden="false" customHeight="false" outlineLevel="0" collapsed="false"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2"/>
    </row>
    <row r="107" customFormat="false" ht="13.8" hidden="false" customHeight="false" outlineLevel="0" collapsed="false"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2"/>
    </row>
    <row r="108" customFormat="false" ht="13.8" hidden="false" customHeight="false" outlineLevel="0" collapsed="false"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2"/>
    </row>
    <row r="109" customFormat="false" ht="13.8" hidden="false" customHeight="false" outlineLevel="0" collapsed="false"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2"/>
    </row>
    <row r="110" customFormat="false" ht="13.8" hidden="false" customHeight="false" outlineLevel="0" collapsed="false"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2"/>
    </row>
    <row r="111" customFormat="false" ht="13.8" hidden="false" customHeight="false" outlineLevel="0" collapsed="false"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2"/>
    </row>
    <row r="112" customFormat="false" ht="13.8" hidden="false" customHeight="false" outlineLevel="0" collapsed="false"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2"/>
    </row>
    <row r="113" customFormat="false" ht="13.8" hidden="false" customHeight="false" outlineLevel="0" collapsed="false"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2"/>
    </row>
    <row r="114" customFormat="false" ht="13.8" hidden="false" customHeight="false" outlineLevel="0" collapsed="false"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2"/>
    </row>
    <row r="115" customFormat="false" ht="13.8" hidden="false" customHeight="false" outlineLevel="0" collapsed="false"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2"/>
    </row>
    <row r="116" customFormat="false" ht="13.8" hidden="false" customHeight="false" outlineLevel="0" collapsed="false"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2"/>
    </row>
    <row r="117" customFormat="false" ht="13.8" hidden="false" customHeight="false" outlineLevel="0" collapsed="false"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2"/>
    </row>
    <row r="118" customFormat="false" ht="13.8" hidden="false" customHeight="false" outlineLevel="0" collapsed="false"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2"/>
    </row>
    <row r="119" customFormat="false" ht="13.8" hidden="false" customHeight="false" outlineLevel="0" collapsed="false"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2"/>
    </row>
    <row r="120" customFormat="false" ht="13.8" hidden="false" customHeight="false" outlineLevel="0" collapsed="false"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2"/>
    </row>
    <row r="121" customFormat="false" ht="13.8" hidden="false" customHeight="false" outlineLevel="0" collapsed="false"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2"/>
    </row>
    <row r="122" customFormat="false" ht="13.8" hidden="false" customHeight="false" outlineLevel="0" collapsed="false"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2"/>
    </row>
    <row r="123" customFormat="false" ht="13.8" hidden="false" customHeight="false" outlineLevel="0" collapsed="false"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2"/>
    </row>
    <row r="124" customFormat="false" ht="13.8" hidden="false" customHeight="false" outlineLevel="0" collapsed="false"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2"/>
    </row>
    <row r="125" customFormat="false" ht="13.8" hidden="false" customHeight="false" outlineLevel="0" collapsed="false"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2"/>
    </row>
    <row r="126" customFormat="false" ht="13.8" hidden="false" customHeight="false" outlineLevel="0" collapsed="false"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2"/>
    </row>
    <row r="127" customFormat="false" ht="13.8" hidden="false" customHeight="false" outlineLevel="0" collapsed="false"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2"/>
    </row>
    <row r="128" customFormat="false" ht="13.8" hidden="false" customHeight="false" outlineLevel="0" collapsed="false"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2"/>
    </row>
    <row r="129" customFormat="false" ht="13.8" hidden="false" customHeight="false" outlineLevel="0" collapsed="false"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2"/>
    </row>
    <row r="130" customFormat="false" ht="13.8" hidden="false" customHeight="false" outlineLevel="0" collapsed="false"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2"/>
    </row>
    <row r="131" customFormat="false" ht="13.8" hidden="false" customHeight="false" outlineLevel="0" collapsed="false"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2"/>
    </row>
    <row r="132" customFormat="false" ht="13.8" hidden="false" customHeight="false" outlineLevel="0" collapsed="false"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2"/>
    </row>
    <row r="133" customFormat="false" ht="13.8" hidden="false" customHeight="false" outlineLevel="0" collapsed="false"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2"/>
    </row>
    <row r="134" customFormat="false" ht="13.8" hidden="false" customHeight="false" outlineLevel="0" collapsed="false"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2"/>
    </row>
    <row r="135" customFormat="false" ht="13.8" hidden="false" customHeight="false" outlineLevel="0" collapsed="false"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2"/>
    </row>
    <row r="136" customFormat="false" ht="13.8" hidden="false" customHeight="false" outlineLevel="0" collapsed="false"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2"/>
    </row>
    <row r="137" customFormat="false" ht="13.8" hidden="false" customHeight="false" outlineLevel="0" collapsed="false"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2"/>
    </row>
    <row r="138" customFormat="false" ht="13.8" hidden="false" customHeight="false" outlineLevel="0" collapsed="false"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2"/>
    </row>
    <row r="139" customFormat="false" ht="13.8" hidden="false" customHeight="false" outlineLevel="0" collapsed="false"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2"/>
    </row>
    <row r="140" customFormat="false" ht="13.8" hidden="false" customHeight="false" outlineLevel="0" collapsed="false"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2"/>
    </row>
    <row r="141" customFormat="false" ht="13.8" hidden="false" customHeight="false" outlineLevel="0" collapsed="false"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2"/>
    </row>
    <row r="142" customFormat="false" ht="13.8" hidden="false" customHeight="false" outlineLevel="0" collapsed="false"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2"/>
    </row>
    <row r="143" customFormat="false" ht="13.8" hidden="false" customHeight="false" outlineLevel="0" collapsed="false"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2"/>
    </row>
    <row r="144" customFormat="false" ht="13.8" hidden="false" customHeight="false" outlineLevel="0" collapsed="false"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2"/>
    </row>
    <row r="145" customFormat="false" ht="13.8" hidden="false" customHeight="false" outlineLevel="0" collapsed="false"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2"/>
    </row>
    <row r="146" customFormat="false" ht="13.8" hidden="false" customHeight="false" outlineLevel="0" collapsed="false"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2"/>
    </row>
    <row r="147" customFormat="false" ht="13.8" hidden="false" customHeight="false" outlineLevel="0" collapsed="false"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2"/>
    </row>
    <row r="148" customFormat="false" ht="13.8" hidden="false" customHeight="false" outlineLevel="0" collapsed="false"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32"/>
    </row>
    <row r="149" customFormat="false" ht="13.8" hidden="false" customHeight="false" outlineLevel="0" collapsed="false"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32"/>
    </row>
    <row r="150" customFormat="false" ht="13.8" hidden="false" customHeight="false" outlineLevel="0" collapsed="false"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32"/>
    </row>
    <row r="151" customFormat="false" ht="13.8" hidden="false" customHeight="false" outlineLevel="0" collapsed="false"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3.16"/>
    <col collapsed="false" customWidth="true" hidden="false" outlineLevel="0" max="4" min="3" style="1" width="10.54"/>
    <col collapsed="false" customWidth="true" hidden="false" outlineLevel="0" max="16" min="16" style="1" width="10.18"/>
    <col collapsed="false" customWidth="true" hidden="false" outlineLevel="0" max="20" min="20" style="1" width="10.54"/>
  </cols>
  <sheetData>
    <row r="1" customFormat="false" ht="13.8" hidden="false" customHeight="false" outlineLevel="0" collapsed="false">
      <c r="A1" s="2" t="s">
        <v>0</v>
      </c>
      <c r="B1" s="33"/>
    </row>
    <row r="2" customFormat="false" ht="13.8" hidden="false" customHeight="false" outlineLevel="0" collapsed="false">
      <c r="A2" s="3" t="s">
        <v>66</v>
      </c>
      <c r="B2" s="34"/>
    </row>
    <row r="3" customFormat="false" ht="13.8" hidden="false" customHeight="false" outlineLevel="0" collapsed="false">
      <c r="B3" s="1" t="s">
        <v>67</v>
      </c>
    </row>
    <row r="4" customFormat="false" ht="13.8" hidden="false" customHeight="false" outlineLevel="0" collapsed="false">
      <c r="B4" s="1" t="s">
        <v>68</v>
      </c>
    </row>
    <row r="5" customFormat="false" ht="13.8" hidden="false" customHeight="false" outlineLevel="0" collapsed="false">
      <c r="B5" s="1" t="s">
        <v>69</v>
      </c>
    </row>
    <row r="6" customFormat="false" ht="13.8" hidden="false" customHeight="false" outlineLevel="0" collapsed="false">
      <c r="B6" s="1" t="s">
        <v>70</v>
      </c>
    </row>
    <row r="7" customFormat="false" ht="13.8" hidden="false" customHeight="false" outlineLevel="0" collapsed="false"/>
    <row r="8" customFormat="false" ht="13.8" hidden="false" customHeight="false" outlineLevel="0" collapsed="false">
      <c r="B8" s="1" t="s">
        <v>71</v>
      </c>
    </row>
    <row r="9" customFormat="false" ht="13.8" hidden="false" customHeight="false" outlineLevel="0" collapsed="false"/>
    <row r="10" customFormat="false" ht="13.8" hidden="false" customHeight="false" outlineLevel="0" collapsed="false">
      <c r="B10" s="1" t="s">
        <v>72</v>
      </c>
      <c r="C10" s="43" t="n">
        <f aca="false">'Revenue Build'!P27</f>
        <v>88000</v>
      </c>
    </row>
    <row r="11" customFormat="false" ht="13.8" hidden="false" customHeight="false" outlineLevel="0" collapsed="false">
      <c r="B11" s="1" t="s">
        <v>73</v>
      </c>
      <c r="C11" s="43" t="n">
        <f aca="false">'Revenue Build'!P31</f>
        <v>15000</v>
      </c>
    </row>
    <row r="12" customFormat="false" ht="13.8" hidden="false" customHeight="false" outlineLevel="0" collapsed="false">
      <c r="B12" s="1" t="s">
        <v>74</v>
      </c>
      <c r="C12" s="43" t="n">
        <f aca="false">C10+C11</f>
        <v>103000</v>
      </c>
    </row>
    <row r="13" customFormat="false" ht="13.8" hidden="false" customHeight="false" outlineLevel="0" collapsed="false">
      <c r="B13" s="1" t="s">
        <v>65</v>
      </c>
      <c r="C13" s="44" t="n">
        <f aca="false">C12/('Revenue Build'!$C$5*12*'Revenue Build'!$C$7*'Revenue Build'!$C$8)</f>
        <v>2.6010101010101</v>
      </c>
    </row>
    <row r="14" customFormat="false" ht="13.8" hidden="false" customHeight="false" outlineLevel="0" collapsed="false">
      <c r="B14" s="1" t="s">
        <v>75</v>
      </c>
      <c r="C14" s="44" t="n">
        <f aca="false">'Revenue Build'!$C$6</f>
        <v>5</v>
      </c>
    </row>
    <row r="15" s="33" customFormat="true" ht="13.8" hidden="false" customHeight="false" outlineLevel="0" collapsed="false">
      <c r="B15" s="33" t="s">
        <v>76</v>
      </c>
      <c r="C15" s="44" t="n">
        <f aca="false">C14-C13</f>
        <v>2.3989898989899</v>
      </c>
    </row>
    <row r="16" customFormat="false" ht="13.8" hidden="false" customHeight="false" outlineLevel="0" collapsed="false">
      <c r="A16" s="34"/>
      <c r="B16" s="34"/>
      <c r="C16" s="34"/>
      <c r="D16" s="34"/>
    </row>
    <row r="17" customFormat="false" ht="13.8" hidden="false" customHeight="false" outlineLevel="0" collapsed="false"/>
    <row r="18" customFormat="false" ht="13.8" hidden="false" customHeight="false" outlineLevel="0" collapsed="false">
      <c r="A18" s="1" t="s">
        <v>77</v>
      </c>
      <c r="D18" s="45"/>
      <c r="E18" s="45"/>
      <c r="G18" s="45"/>
      <c r="H18" s="45"/>
      <c r="I18" s="45"/>
      <c r="J18" s="45"/>
      <c r="K18" s="45"/>
      <c r="L18" s="45"/>
      <c r="M18" s="45"/>
      <c r="N18" s="45"/>
    </row>
    <row r="19" customFormat="false" ht="13.8" hidden="false" customHeight="false" outlineLevel="0" collapsed="false">
      <c r="B19" s="1" t="s">
        <v>78</v>
      </c>
      <c r="C19" s="46" t="n">
        <v>1</v>
      </c>
      <c r="D19" s="46" t="n">
        <v>1.5</v>
      </c>
      <c r="E19" s="46" t="n">
        <v>2</v>
      </c>
      <c r="F19" s="46" t="n">
        <v>2.5</v>
      </c>
      <c r="G19" s="46" t="n">
        <v>3</v>
      </c>
      <c r="H19" s="46" t="n">
        <v>3.5</v>
      </c>
      <c r="I19" s="46" t="n">
        <v>4</v>
      </c>
      <c r="J19" s="46" t="n">
        <v>4.5</v>
      </c>
      <c r="K19" s="46" t="n">
        <v>5</v>
      </c>
      <c r="L19" s="46" t="n">
        <v>5.5</v>
      </c>
      <c r="M19" s="46" t="n">
        <v>6</v>
      </c>
      <c r="N19" s="46" t="n">
        <v>6.5</v>
      </c>
      <c r="O19" s="0" t="s">
        <v>79</v>
      </c>
      <c r="P19" s="1" t="s">
        <v>52</v>
      </c>
    </row>
    <row r="20" customFormat="false" ht="13.8" hidden="false" customHeight="false" outlineLevel="0" collapsed="false">
      <c r="B20" s="1" t="s">
        <v>80</v>
      </c>
      <c r="C20" s="47" t="n">
        <f aca="false">'Revenue Build'!$C$5</f>
        <v>10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2"/>
      <c r="R20" s="31"/>
      <c r="S20" s="32"/>
      <c r="T20" s="31"/>
    </row>
    <row r="21" customFormat="false" ht="13.8" hidden="false" customHeight="false" outlineLevel="0" collapsed="false">
      <c r="B21" s="1" t="s">
        <v>81</v>
      </c>
      <c r="C21" s="48" t="n">
        <f aca="false">'Revenue Build'!$C$8</f>
        <v>11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2"/>
      <c r="R21" s="31"/>
      <c r="S21" s="32"/>
    </row>
    <row r="22" customFormat="false" ht="13.8" hidden="false" customHeight="false" outlineLevel="0" collapsed="false"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49"/>
      <c r="R22" s="31"/>
      <c r="S22" s="49"/>
    </row>
    <row r="23" customFormat="false" ht="13.8" hidden="false" customHeight="false" outlineLevel="0" collapsed="false">
      <c r="B23" s="1" t="s">
        <v>82</v>
      </c>
      <c r="C23" s="20" t="n">
        <f aca="false">C19*'Revenue Build'!$C$5*12*'Revenue Build'!$C$7*'Revenue Build'!$C$8</f>
        <v>39600</v>
      </c>
      <c r="D23" s="20" t="n">
        <f aca="false">D19*'Revenue Build'!$C$5*12*'Revenue Build'!$C$7*'Revenue Build'!$C$8</f>
        <v>59400</v>
      </c>
      <c r="E23" s="20" t="n">
        <f aca="false">E19*'Revenue Build'!$C$5*12*'Revenue Build'!$C$7*'Revenue Build'!$C$8</f>
        <v>79200</v>
      </c>
      <c r="F23" s="20" t="n">
        <f aca="false">F19*'Revenue Build'!$C$5*12*'Revenue Build'!$C$7*'Revenue Build'!$C$8</f>
        <v>99000</v>
      </c>
      <c r="G23" s="20" t="n">
        <f aca="false">G19*'Revenue Build'!$C$5*12*'Revenue Build'!$C$7*'Revenue Build'!$C$8</f>
        <v>118800</v>
      </c>
      <c r="H23" s="20" t="n">
        <f aca="false">H19*'Revenue Build'!$C$5*12*'Revenue Build'!$C$7*'Revenue Build'!$C$8</f>
        <v>138600</v>
      </c>
      <c r="I23" s="20" t="n">
        <f aca="false">I19*'Revenue Build'!$C$5*12*'Revenue Build'!$C$7*'Revenue Build'!$C$8</f>
        <v>158400</v>
      </c>
      <c r="J23" s="20" t="n">
        <f aca="false">J19*'Revenue Build'!$C$5*12*'Revenue Build'!$C$7*'Revenue Build'!$C$8</f>
        <v>178200</v>
      </c>
      <c r="K23" s="20" t="n">
        <f aca="false">K19*'Revenue Build'!$C$5*12*'Revenue Build'!$C$7*'Revenue Build'!$C$8</f>
        <v>198000</v>
      </c>
      <c r="L23" s="20" t="n">
        <f aca="false">L19*'Revenue Build'!$C$5*12*'Revenue Build'!$C$7*'Revenue Build'!$C$8</f>
        <v>217800</v>
      </c>
      <c r="M23" s="20" t="n">
        <f aca="false">M19*'Revenue Build'!$C$5*12*'Revenue Build'!$C$7*'Revenue Build'!$C$8</f>
        <v>237600</v>
      </c>
      <c r="N23" s="20" t="n">
        <f aca="false">N19*'Revenue Build'!$C$5*12*'Revenue Build'!$C$7*'Revenue Build'!$C$8</f>
        <v>257400</v>
      </c>
      <c r="O23" s="20" t="n">
        <f aca="false">'Revenue Build'!P21</f>
        <v>198000</v>
      </c>
      <c r="P23" s="49" t="n">
        <f aca="false">1</f>
        <v>1</v>
      </c>
      <c r="R23" s="31"/>
      <c r="S23" s="49"/>
    </row>
    <row r="24" customFormat="false" ht="13.8" hidden="false" customHeight="false" outlineLevel="0" collapsed="false"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2"/>
      <c r="R24" s="31"/>
      <c r="S24" s="32"/>
    </row>
    <row r="25" customFormat="false" ht="13.8" hidden="false" customHeight="false" outlineLevel="0" collapsed="false">
      <c r="B25" s="1" t="s">
        <v>53</v>
      </c>
      <c r="C25" s="20" t="n">
        <f aca="false">'Revenue Build'!P27</f>
        <v>88000</v>
      </c>
      <c r="D25" s="20" t="n">
        <f aca="false">'Revenue Build'!P27</f>
        <v>88000</v>
      </c>
      <c r="E25" s="20" t="n">
        <f aca="false">'Revenue Build'!P27</f>
        <v>88000</v>
      </c>
      <c r="F25" s="20" t="n">
        <f aca="false">'Revenue Build'!P27</f>
        <v>88000</v>
      </c>
      <c r="G25" s="20" t="n">
        <f aca="false">'Revenue Build'!P27</f>
        <v>88000</v>
      </c>
      <c r="H25" s="20" t="n">
        <f aca="false">'Revenue Build'!P27</f>
        <v>88000</v>
      </c>
      <c r="I25" s="20" t="n">
        <f aca="false">'Revenue Build'!P27</f>
        <v>88000</v>
      </c>
      <c r="J25" s="20" t="n">
        <f aca="false">'Revenue Build'!P27</f>
        <v>88000</v>
      </c>
      <c r="K25" s="20" t="n">
        <f aca="false">'Revenue Build'!P27</f>
        <v>88000</v>
      </c>
      <c r="L25" s="20" t="n">
        <f aca="false">'Revenue Build'!P27</f>
        <v>88000</v>
      </c>
      <c r="M25" s="20" t="n">
        <f aca="false">'Revenue Build'!P27</f>
        <v>88000</v>
      </c>
      <c r="N25" s="20" t="n">
        <f aca="false">'Revenue Build'!P27</f>
        <v>88000</v>
      </c>
      <c r="O25" s="20" t="n">
        <f aca="false">'Revenue Build'!P27</f>
        <v>88000</v>
      </c>
      <c r="P25" s="49" t="n">
        <f aca="false">O25/O23</f>
        <v>0.444444444444444</v>
      </c>
      <c r="R25" s="31"/>
      <c r="S25" s="32"/>
    </row>
    <row r="26" customFormat="false" ht="13.8" hidden="false" customHeight="false" outlineLevel="0" collapsed="false">
      <c r="B26" s="1" t="s">
        <v>54</v>
      </c>
      <c r="C26" s="20" t="n">
        <f aca="false">C23-C25</f>
        <v>-48400</v>
      </c>
      <c r="D26" s="20" t="n">
        <f aca="false">D23-D25</f>
        <v>-28600</v>
      </c>
      <c r="E26" s="20" t="n">
        <f aca="false">E23-E25</f>
        <v>-8800</v>
      </c>
      <c r="F26" s="20" t="n">
        <f aca="false">F23-F25</f>
        <v>11000</v>
      </c>
      <c r="G26" s="20" t="n">
        <f aca="false">G23-G25</f>
        <v>30800</v>
      </c>
      <c r="H26" s="20" t="n">
        <f aca="false">H23-H25</f>
        <v>50600</v>
      </c>
      <c r="I26" s="20" t="n">
        <f aca="false">I23-I25</f>
        <v>70400</v>
      </c>
      <c r="J26" s="20" t="n">
        <f aca="false">J23-J25</f>
        <v>90200</v>
      </c>
      <c r="K26" s="20" t="n">
        <f aca="false">K23-K25</f>
        <v>110000</v>
      </c>
      <c r="L26" s="20" t="n">
        <f aca="false">L23-L25</f>
        <v>129800</v>
      </c>
      <c r="M26" s="20" t="n">
        <f aca="false">M23-M25</f>
        <v>149600</v>
      </c>
      <c r="N26" s="20" t="n">
        <f aca="false">N23-N25</f>
        <v>169400</v>
      </c>
      <c r="O26" s="20" t="n">
        <f aca="false">O23-O25</f>
        <v>110000</v>
      </c>
      <c r="P26" s="49" t="n">
        <f aca="false">O26/O23</f>
        <v>0.555555555555556</v>
      </c>
      <c r="R26" s="31"/>
      <c r="S26" s="49"/>
    </row>
    <row r="27" customFormat="false" ht="13.8" hidden="false" customHeight="false" outlineLevel="0" collapsed="false"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49"/>
      <c r="R27" s="31"/>
      <c r="S27" s="49"/>
    </row>
    <row r="28" customFormat="false" ht="13.8" hidden="false" customHeight="false" outlineLevel="0" collapsed="false">
      <c r="B28" s="1" t="s">
        <v>83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49"/>
      <c r="R28" s="31"/>
      <c r="S28" s="49"/>
    </row>
    <row r="29" customFormat="false" ht="13.8" hidden="false" customHeight="false" outlineLevel="0" collapsed="false">
      <c r="B29" s="1" t="s">
        <v>39</v>
      </c>
      <c r="C29" s="20" t="n">
        <f aca="false">'Revenue Build'!P29</f>
        <v>3000</v>
      </c>
      <c r="D29" s="20" t="n">
        <f aca="false">'Revenue Build'!P29</f>
        <v>3000</v>
      </c>
      <c r="E29" s="20" t="n">
        <f aca="false">'Revenue Build'!P29</f>
        <v>3000</v>
      </c>
      <c r="F29" s="20" t="n">
        <f aca="false">'Revenue Build'!P29</f>
        <v>3000</v>
      </c>
      <c r="G29" s="20" t="n">
        <f aca="false">'Revenue Build'!P29</f>
        <v>3000</v>
      </c>
      <c r="H29" s="20" t="n">
        <f aca="false">'Revenue Build'!P29</f>
        <v>3000</v>
      </c>
      <c r="I29" s="20" t="n">
        <f aca="false">'Revenue Build'!P29</f>
        <v>3000</v>
      </c>
      <c r="J29" s="20" t="n">
        <f aca="false">'Revenue Build'!P29</f>
        <v>3000</v>
      </c>
      <c r="K29" s="20" t="n">
        <f aca="false">'Revenue Build'!P29</f>
        <v>3000</v>
      </c>
      <c r="L29" s="20" t="n">
        <f aca="false">'Revenue Build'!P29</f>
        <v>3000</v>
      </c>
      <c r="M29" s="20" t="n">
        <f aca="false">'Revenue Build'!P29</f>
        <v>3000</v>
      </c>
      <c r="N29" s="20" t="n">
        <f aca="false">'Revenue Build'!P29</f>
        <v>3000</v>
      </c>
      <c r="O29" s="20" t="n">
        <f aca="false">'Revenue Build'!P29</f>
        <v>3000</v>
      </c>
      <c r="P29" s="49" t="n">
        <f aca="false">O29/O23</f>
        <v>0.0151515151515152</v>
      </c>
      <c r="R29" s="31"/>
      <c r="S29" s="49"/>
    </row>
    <row r="30" customFormat="false" ht="13.8" hidden="false" customHeight="false" outlineLevel="0" collapsed="false">
      <c r="B30" s="1" t="s">
        <v>40</v>
      </c>
      <c r="C30" s="20" t="n">
        <f aca="false">'Revenue Build'!P30</f>
        <v>12000</v>
      </c>
      <c r="D30" s="20" t="n">
        <f aca="false">'Revenue Build'!P30</f>
        <v>12000</v>
      </c>
      <c r="E30" s="20" t="n">
        <f aca="false">'Revenue Build'!P30</f>
        <v>12000</v>
      </c>
      <c r="F30" s="20" t="n">
        <f aca="false">'Revenue Build'!P30</f>
        <v>12000</v>
      </c>
      <c r="G30" s="20" t="n">
        <f aca="false">'Revenue Build'!P30</f>
        <v>12000</v>
      </c>
      <c r="H30" s="20" t="n">
        <f aca="false">'Revenue Build'!P30</f>
        <v>12000</v>
      </c>
      <c r="I30" s="20" t="n">
        <f aca="false">'Revenue Build'!P30</f>
        <v>12000</v>
      </c>
      <c r="J30" s="20" t="n">
        <f aca="false">'Revenue Build'!P30</f>
        <v>12000</v>
      </c>
      <c r="K30" s="20" t="n">
        <f aca="false">'Revenue Build'!P30</f>
        <v>12000</v>
      </c>
      <c r="L30" s="20" t="n">
        <f aca="false">'Revenue Build'!P30</f>
        <v>12000</v>
      </c>
      <c r="M30" s="20" t="n">
        <f aca="false">'Revenue Build'!P30</f>
        <v>12000</v>
      </c>
      <c r="N30" s="20" t="n">
        <f aca="false">'Revenue Build'!P30</f>
        <v>12000</v>
      </c>
      <c r="O30" s="20" t="n">
        <f aca="false">'Revenue Build'!P30</f>
        <v>12000</v>
      </c>
      <c r="P30" s="49" t="n">
        <f aca="false">O30/O23</f>
        <v>0.0606060606060606</v>
      </c>
      <c r="R30" s="31"/>
      <c r="S30" s="49"/>
    </row>
    <row r="31" customFormat="false" ht="13.8" hidden="false" customHeight="false" outlineLevel="0" collapsed="false"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49"/>
      <c r="R31" s="31"/>
      <c r="S31" s="49"/>
    </row>
    <row r="32" customFormat="false" ht="13.8" hidden="false" customHeight="false" outlineLevel="0" collapsed="false"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49"/>
      <c r="R32" s="31"/>
      <c r="S32" s="49"/>
    </row>
    <row r="33" customFormat="false" ht="13.8" hidden="false" customHeight="false" outlineLevel="0" collapsed="false"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49"/>
      <c r="R33" s="31"/>
      <c r="S33" s="49"/>
    </row>
    <row r="34" customFormat="false" ht="13.8" hidden="false" customHeight="false" outlineLevel="0" collapsed="false"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49"/>
      <c r="R34" s="31"/>
      <c r="S34" s="49"/>
    </row>
    <row r="35" customFormat="false" ht="13.8" hidden="false" customHeight="false" outlineLevel="0" collapsed="false"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49"/>
      <c r="R35" s="31"/>
      <c r="S35" s="49"/>
    </row>
    <row r="36" customFormat="false" ht="13.8" hidden="false" customHeight="false" outlineLevel="0" collapsed="false"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49"/>
      <c r="R36" s="31"/>
      <c r="S36" s="49"/>
    </row>
    <row r="37" customFormat="false" ht="13.8" hidden="false" customHeight="false" outlineLevel="0" collapsed="false"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49"/>
      <c r="R37" s="31"/>
      <c r="S37" s="49"/>
    </row>
    <row r="38" customFormat="false" ht="13.8" hidden="false" customHeight="false" outlineLevel="0" collapsed="false"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49"/>
      <c r="R38" s="31"/>
      <c r="S38" s="49"/>
    </row>
    <row r="39" customFormat="false" ht="13.8" hidden="false" customHeight="false" outlineLevel="0" collapsed="false"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49"/>
      <c r="R39" s="31"/>
      <c r="S39" s="49"/>
    </row>
    <row r="40" customFormat="false" ht="13.8" hidden="false" customHeight="false" outlineLevel="0" collapsed="false"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49"/>
      <c r="R40" s="31"/>
      <c r="S40" s="49"/>
    </row>
    <row r="41" s="24" customFormat="true" ht="13.8" hidden="false" customHeight="false" outlineLevel="0" collapsed="false"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1"/>
      <c r="R41" s="31"/>
      <c r="S41" s="51"/>
    </row>
    <row r="42" customFormat="false" ht="13.8" hidden="false" customHeight="false" outlineLevel="0" collapsed="false"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49"/>
      <c r="R42" s="31"/>
      <c r="S42" s="49"/>
    </row>
    <row r="43" customFormat="false" ht="13.8" hidden="false" customHeight="false" outlineLevel="0" collapsed="false"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49"/>
      <c r="R43" s="31"/>
      <c r="S43" s="49"/>
    </row>
    <row r="44" customFormat="false" ht="13.8" hidden="false" customHeight="false" outlineLevel="0" collapsed="false"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49"/>
      <c r="R44" s="31"/>
      <c r="S44" s="49"/>
    </row>
    <row r="45" customFormat="false" ht="13.8" hidden="false" customHeight="false" outlineLevel="0" collapsed="false"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49"/>
      <c r="R45" s="31"/>
      <c r="S45" s="49"/>
    </row>
    <row r="46" customFormat="false" ht="13.8" hidden="false" customHeight="false" outlineLevel="0" collapsed="false">
      <c r="A46" s="27"/>
      <c r="B46" s="27" t="s">
        <v>57</v>
      </c>
      <c r="C46" s="28" t="n">
        <f aca="false">SUM(C29:C45)</f>
        <v>15000</v>
      </c>
      <c r="D46" s="28" t="n">
        <f aca="false">SUM(D29:D45)</f>
        <v>15000</v>
      </c>
      <c r="E46" s="28" t="n">
        <f aca="false">SUM(E29:E45)</f>
        <v>15000</v>
      </c>
      <c r="F46" s="28" t="n">
        <f aca="false">SUM(F29:F45)</f>
        <v>15000</v>
      </c>
      <c r="G46" s="28" t="n">
        <f aca="false">SUM(G29:G45)</f>
        <v>15000</v>
      </c>
      <c r="H46" s="28" t="n">
        <f aca="false">SUM(H29:H45)</f>
        <v>15000</v>
      </c>
      <c r="I46" s="28" t="n">
        <f aca="false">SUM(I29:I45)</f>
        <v>15000</v>
      </c>
      <c r="J46" s="28" t="n">
        <f aca="false">SUM(J29:J45)</f>
        <v>15000</v>
      </c>
      <c r="K46" s="28" t="n">
        <f aca="false">SUM(K29:K45)</f>
        <v>15000</v>
      </c>
      <c r="L46" s="28" t="n">
        <f aca="false">SUM(L29:L45)</f>
        <v>15000</v>
      </c>
      <c r="M46" s="28" t="n">
        <f aca="false">SUM(M29:M45)</f>
        <v>15000</v>
      </c>
      <c r="N46" s="28" t="n">
        <f aca="false">SUM(N29:N45)</f>
        <v>15000</v>
      </c>
      <c r="O46" s="28" t="n">
        <f aca="false">SUM(O29:O45)</f>
        <v>15000</v>
      </c>
      <c r="P46" s="52" t="n">
        <f aca="false">SUM(P29:P45)</f>
        <v>0.0757575757575758</v>
      </c>
      <c r="R46" s="31"/>
      <c r="S46" s="49"/>
    </row>
    <row r="47" customFormat="false" ht="13.8" hidden="false" customHeight="false" outlineLevel="0" collapsed="false">
      <c r="A47" s="30"/>
      <c r="B47" s="30" t="s">
        <v>58</v>
      </c>
      <c r="C47" s="28" t="n">
        <f aca="false">C26-C46</f>
        <v>-63400</v>
      </c>
      <c r="D47" s="28" t="n">
        <f aca="false">D26-D46</f>
        <v>-43600</v>
      </c>
      <c r="E47" s="28" t="n">
        <f aca="false">E26-E46</f>
        <v>-23800</v>
      </c>
      <c r="F47" s="28" t="n">
        <f aca="false">F26-F46</f>
        <v>-4000</v>
      </c>
      <c r="G47" s="28" t="n">
        <f aca="false">G26-G46</f>
        <v>15800</v>
      </c>
      <c r="H47" s="28" t="n">
        <f aca="false">H26-H46</f>
        <v>35600</v>
      </c>
      <c r="I47" s="28" t="n">
        <f aca="false">I26-I46</f>
        <v>55400</v>
      </c>
      <c r="J47" s="28" t="n">
        <f aca="false">J26-J46</f>
        <v>75200</v>
      </c>
      <c r="K47" s="28" t="n">
        <f aca="false">K26-K46</f>
        <v>95000</v>
      </c>
      <c r="L47" s="28" t="n">
        <f aca="false">L26-L46</f>
        <v>114800</v>
      </c>
      <c r="M47" s="28" t="n">
        <f aca="false">M26-M46</f>
        <v>134600</v>
      </c>
      <c r="N47" s="28" t="n">
        <f aca="false">N26-N46</f>
        <v>154400</v>
      </c>
      <c r="O47" s="28" t="n">
        <f aca="false">O26-O46</f>
        <v>95000</v>
      </c>
      <c r="P47" s="52" t="n">
        <f aca="false">O47/O23</f>
        <v>0.47979797979798</v>
      </c>
      <c r="R47" s="31"/>
      <c r="S47" s="49"/>
    </row>
    <row r="48" customFormat="false" ht="13.8" hidden="false" customHeight="false" outlineLevel="0" collapsed="false"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2"/>
      <c r="R48" s="31"/>
      <c r="S48" s="32"/>
    </row>
    <row r="49" customFormat="false" ht="13.8" hidden="false" customHeight="false" outlineLevel="0" collapsed="false"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2"/>
      <c r="R49" s="31"/>
      <c r="S49" s="32"/>
    </row>
    <row r="50" s="33" customFormat="true" ht="13.8" hidden="false" customHeight="false" outlineLevel="0" collapsed="false"/>
    <row r="51" customFormat="false" ht="13.8" hidden="false" customHeight="false" outlineLevel="0" collapsed="false">
      <c r="A51" s="34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2"/>
      <c r="R51" s="31"/>
      <c r="S51" s="32"/>
    </row>
    <row r="52" customFormat="false" ht="13.8" hidden="false" customHeight="false" outlineLevel="0" collapsed="false"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2"/>
      <c r="R52" s="31"/>
      <c r="S52" s="32"/>
    </row>
    <row r="53" customFormat="false" ht="13.8" hidden="false" customHeight="false" outlineLevel="0" collapsed="false">
      <c r="E53" s="45"/>
      <c r="F53" s="45"/>
      <c r="H53" s="45"/>
      <c r="I53" s="45"/>
      <c r="J53" s="45"/>
      <c r="K53" s="45"/>
      <c r="L53" s="45"/>
      <c r="M53" s="45"/>
      <c r="N53" s="45"/>
      <c r="O53" s="45"/>
    </row>
    <row r="54" customFormat="false" ht="13.8" hidden="false" customHeight="false" outlineLevel="0" collapsed="false"/>
    <row r="55" customFormat="false" ht="13.8" hidden="false" customHeight="false" outlineLevel="0" collapsed="false"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53"/>
      <c r="R55" s="31"/>
      <c r="S55" s="53"/>
    </row>
    <row r="56" customFormat="false" ht="13.8" hidden="false" customHeight="false" outlineLevel="0" collapsed="false"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53"/>
      <c r="R56" s="31"/>
      <c r="S56" s="53"/>
    </row>
    <row r="57" customFormat="false" ht="13.8" hidden="false" customHeight="false" outlineLevel="0" collapsed="false"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53"/>
      <c r="R57" s="31"/>
      <c r="S57" s="53"/>
    </row>
    <row r="58" customFormat="false" ht="13.8" hidden="false" customHeight="false" outlineLevel="0" collapsed="false"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53"/>
      <c r="R58" s="31"/>
      <c r="S58" s="53"/>
    </row>
    <row r="59" customFormat="false" ht="13.8" hidden="false" customHeight="false" outlineLevel="0" collapsed="false"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53"/>
      <c r="R59" s="31"/>
      <c r="S59" s="53"/>
    </row>
    <row r="60" customFormat="false" ht="13.8" hidden="false" customHeight="false" outlineLevel="0" collapsed="false"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53"/>
      <c r="R60" s="31"/>
      <c r="S60" s="53"/>
    </row>
    <row r="61" customFormat="false" ht="13.8" hidden="false" customHeight="false" outlineLevel="0" collapsed="false"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2"/>
      <c r="R61" s="31"/>
      <c r="S61" s="32"/>
    </row>
    <row r="62" customFormat="false" ht="13.8" hidden="false" customHeight="false" outlineLevel="0" collapsed="false"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2"/>
      <c r="R62" s="31"/>
      <c r="S62" s="32"/>
    </row>
    <row r="63" customFormat="false" ht="28.5" hidden="false" customHeight="true" outlineLevel="0" collapsed="false">
      <c r="B63" s="4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53"/>
      <c r="R63" s="31"/>
      <c r="S63" s="53"/>
    </row>
    <row r="64" customFormat="false" ht="13.8" hidden="false" customHeight="false" outlineLevel="0" collapsed="false">
      <c r="B64" s="4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53"/>
      <c r="R64" s="31"/>
      <c r="S64" s="53"/>
    </row>
    <row r="65" customFormat="false" ht="28.5" hidden="false" customHeight="true" outlineLevel="0" collapsed="false">
      <c r="B65" s="4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53"/>
      <c r="R65" s="31"/>
      <c r="S65" s="53"/>
    </row>
    <row r="66" customFormat="false" ht="13.8" hidden="false" customHeight="false" outlineLevel="0" collapsed="false">
      <c r="B66" s="4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53"/>
      <c r="R66" s="31"/>
      <c r="S66" s="53"/>
    </row>
    <row r="67" customFormat="false" ht="28.5" hidden="false" customHeight="true" outlineLevel="0" collapsed="false">
      <c r="B67" s="4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53"/>
      <c r="R67" s="31"/>
      <c r="S67" s="53"/>
    </row>
    <row r="68" customFormat="false" ht="13.8" hidden="false" customHeight="false" outlineLevel="0" collapsed="false">
      <c r="B68" s="4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53"/>
      <c r="R68" s="31"/>
      <c r="S68" s="53"/>
    </row>
    <row r="69" customFormat="false" ht="13.8" hidden="false" customHeight="false" outlineLevel="0" collapsed="false">
      <c r="B69" s="4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53"/>
      <c r="R69" s="31"/>
      <c r="S69" s="53"/>
    </row>
    <row r="70" customFormat="false" ht="13.8" hidden="false" customHeight="false" outlineLevel="0" collapsed="false"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53"/>
      <c r="R70" s="31"/>
      <c r="S70" s="53"/>
    </row>
    <row r="71" customFormat="false" ht="13.8" hidden="false" customHeight="false" outlineLevel="0" collapsed="false"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53"/>
      <c r="R71" s="31"/>
      <c r="S71" s="53"/>
    </row>
    <row r="72" customFormat="false" ht="13.8" hidden="false" customHeight="false" outlineLevel="0" collapsed="false">
      <c r="A72" s="34"/>
      <c r="B72" s="34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2"/>
      <c r="R72" s="31"/>
      <c r="S72" s="32"/>
    </row>
    <row r="73" customFormat="false" ht="13.8" hidden="false" customHeight="false" outlineLevel="0" collapsed="false"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2"/>
      <c r="R73" s="31"/>
      <c r="S73" s="32"/>
    </row>
    <row r="74" customFormat="false" ht="13.8" hidden="false" customHeight="false" outlineLevel="0" collapsed="false"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2"/>
    </row>
    <row r="75" customFormat="false" ht="13.8" hidden="false" customHeight="false" outlineLevel="0" collapsed="false"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2"/>
    </row>
    <row r="76" customFormat="false" ht="13.8" hidden="false" customHeight="false" outlineLevel="0" collapsed="false"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2"/>
    </row>
    <row r="77" customFormat="false" ht="13.8" hidden="false" customHeight="false" outlineLevel="0" collapsed="false"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2"/>
    </row>
    <row r="78" customFormat="false" ht="13.8" hidden="false" customHeight="false" outlineLevel="0" collapsed="false"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2"/>
    </row>
    <row r="79" customFormat="false" ht="13.8" hidden="false" customHeight="false" outlineLevel="0" collapsed="false"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2"/>
    </row>
    <row r="80" customFormat="false" ht="13.8" hidden="false" customHeight="false" outlineLevel="0" collapsed="false"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2"/>
    </row>
    <row r="81" customFormat="false" ht="13.8" hidden="false" customHeight="false" outlineLevel="0" collapsed="false"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2"/>
    </row>
    <row r="82" customFormat="false" ht="13.8" hidden="false" customHeight="false" outlineLevel="0" collapsed="false"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2"/>
    </row>
    <row r="83" customFormat="false" ht="13.8" hidden="false" customHeight="false" outlineLevel="0" collapsed="false"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2"/>
    </row>
    <row r="84" customFormat="false" ht="13.8" hidden="false" customHeight="false" outlineLevel="0" collapsed="false"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2"/>
    </row>
    <row r="85" customFormat="false" ht="13.8" hidden="false" customHeight="false" outlineLevel="0" collapsed="false"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2"/>
    </row>
    <row r="86" customFormat="false" ht="13.8" hidden="false" customHeight="false" outlineLevel="0" collapsed="false"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2"/>
    </row>
    <row r="87" customFormat="false" ht="13.8" hidden="false" customHeight="false" outlineLevel="0" collapsed="false"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2"/>
    </row>
    <row r="88" customFormat="false" ht="13.8" hidden="false" customHeight="false" outlineLevel="0" collapsed="false"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2"/>
    </row>
    <row r="89" customFormat="false" ht="13.8" hidden="false" customHeight="false" outlineLevel="0" collapsed="false"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2"/>
    </row>
    <row r="90" customFormat="false" ht="13.8" hidden="false" customHeight="false" outlineLevel="0" collapsed="false"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2"/>
    </row>
    <row r="91" customFormat="false" ht="13.8" hidden="false" customHeight="false" outlineLevel="0" collapsed="false"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2"/>
    </row>
    <row r="92" customFormat="false" ht="13.8" hidden="false" customHeight="false" outlineLevel="0" collapsed="false"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2"/>
    </row>
    <row r="93" customFormat="false" ht="13.8" hidden="false" customHeight="false" outlineLevel="0" collapsed="false"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2"/>
    </row>
    <row r="94" customFormat="false" ht="13.8" hidden="false" customHeight="false" outlineLevel="0" collapsed="false"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2"/>
    </row>
    <row r="95" customFormat="false" ht="13.8" hidden="false" customHeight="false" outlineLevel="0" collapsed="false"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2"/>
    </row>
    <row r="96" customFormat="false" ht="13.8" hidden="false" customHeight="false" outlineLevel="0" collapsed="false"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2"/>
    </row>
    <row r="97" customFormat="false" ht="13.8" hidden="false" customHeight="false" outlineLevel="0" collapsed="false"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2"/>
    </row>
    <row r="98" customFormat="false" ht="13.8" hidden="false" customHeight="false" outlineLevel="0" collapsed="false"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2"/>
    </row>
    <row r="99" customFormat="false" ht="13.8" hidden="false" customHeight="false" outlineLevel="0" collapsed="false"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2"/>
    </row>
    <row r="100" customFormat="false" ht="13.8" hidden="false" customHeight="false" outlineLevel="0" collapsed="false"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2"/>
    </row>
    <row r="101" customFormat="false" ht="13.8" hidden="false" customHeight="false" outlineLevel="0" collapsed="false"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2"/>
    </row>
    <row r="102" customFormat="false" ht="13.8" hidden="false" customHeight="false" outlineLevel="0" collapsed="false"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2"/>
    </row>
    <row r="103" customFormat="false" ht="13.8" hidden="false" customHeight="false" outlineLevel="0" collapsed="false"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2"/>
    </row>
    <row r="104" customFormat="false" ht="13.8" hidden="false" customHeight="false" outlineLevel="0" collapsed="false"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2"/>
    </row>
    <row r="105" customFormat="false" ht="13.8" hidden="false" customHeight="false" outlineLevel="0" collapsed="false"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2"/>
    </row>
    <row r="106" customFormat="false" ht="13.8" hidden="false" customHeight="false" outlineLevel="0" collapsed="false"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2"/>
    </row>
    <row r="107" customFormat="false" ht="13.8" hidden="false" customHeight="false" outlineLevel="0" collapsed="false"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2"/>
    </row>
    <row r="108" customFormat="false" ht="13.8" hidden="false" customHeight="false" outlineLevel="0" collapsed="false"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2"/>
    </row>
    <row r="109" customFormat="false" ht="13.8" hidden="false" customHeight="false" outlineLevel="0" collapsed="false"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2"/>
    </row>
    <row r="110" customFormat="false" ht="13.8" hidden="false" customHeight="false" outlineLevel="0" collapsed="false"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2"/>
    </row>
    <row r="111" customFormat="false" ht="13.8" hidden="false" customHeight="false" outlineLevel="0" collapsed="false"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2"/>
    </row>
    <row r="112" customFormat="false" ht="13.8" hidden="false" customHeight="false" outlineLevel="0" collapsed="false"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2"/>
    </row>
    <row r="113" customFormat="false" ht="13.8" hidden="false" customHeight="false" outlineLevel="0" collapsed="false"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2"/>
    </row>
    <row r="114" customFormat="false" ht="13.8" hidden="false" customHeight="false" outlineLevel="0" collapsed="false"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2"/>
    </row>
    <row r="115" customFormat="false" ht="13.8" hidden="false" customHeight="false" outlineLevel="0" collapsed="false"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2"/>
    </row>
    <row r="116" customFormat="false" ht="13.8" hidden="false" customHeight="false" outlineLevel="0" collapsed="false"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2"/>
    </row>
    <row r="117" customFormat="false" ht="13.8" hidden="false" customHeight="false" outlineLevel="0" collapsed="false"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2"/>
    </row>
    <row r="118" customFormat="false" ht="13.8" hidden="false" customHeight="false" outlineLevel="0" collapsed="false"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2"/>
    </row>
    <row r="119" customFormat="false" ht="13.8" hidden="false" customHeight="false" outlineLevel="0" collapsed="false"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2"/>
    </row>
    <row r="120" customFormat="false" ht="13.8" hidden="false" customHeight="false" outlineLevel="0" collapsed="false"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2"/>
    </row>
    <row r="121" customFormat="false" ht="13.8" hidden="false" customHeight="false" outlineLevel="0" collapsed="false"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2"/>
    </row>
    <row r="122" customFormat="false" ht="13.8" hidden="false" customHeight="false" outlineLevel="0" collapsed="false"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2"/>
    </row>
    <row r="123" customFormat="false" ht="13.8" hidden="false" customHeight="false" outlineLevel="0" collapsed="false"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2"/>
    </row>
    <row r="124" customFormat="false" ht="13.8" hidden="false" customHeight="false" outlineLevel="0" collapsed="false"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2"/>
    </row>
    <row r="125" customFormat="false" ht="13.8" hidden="false" customHeight="false" outlineLevel="0" collapsed="false"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2"/>
    </row>
    <row r="126" customFormat="false" ht="13.8" hidden="false" customHeight="false" outlineLevel="0" collapsed="false"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2"/>
    </row>
    <row r="127" customFormat="false" ht="13.8" hidden="false" customHeight="false" outlineLevel="0" collapsed="false"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2"/>
    </row>
    <row r="128" customFormat="false" ht="13.8" hidden="false" customHeight="false" outlineLevel="0" collapsed="false"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2"/>
    </row>
    <row r="129" customFormat="false" ht="13.8" hidden="false" customHeight="false" outlineLevel="0" collapsed="false"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2"/>
    </row>
    <row r="130" customFormat="false" ht="13.8" hidden="false" customHeight="false" outlineLevel="0" collapsed="false"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2"/>
    </row>
    <row r="131" customFormat="false" ht="13.8" hidden="false" customHeight="false" outlineLevel="0" collapsed="false"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2"/>
    </row>
    <row r="132" customFormat="false" ht="13.8" hidden="false" customHeight="false" outlineLevel="0" collapsed="false"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2"/>
    </row>
    <row r="133" customFormat="false" ht="13.8" hidden="false" customHeight="false" outlineLevel="0" collapsed="false"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2"/>
    </row>
    <row r="134" customFormat="false" ht="13.8" hidden="false" customHeight="false" outlineLevel="0" collapsed="false"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2"/>
    </row>
    <row r="135" customFormat="false" ht="13.8" hidden="false" customHeight="false" outlineLevel="0" collapsed="false"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2"/>
    </row>
    <row r="136" customFormat="false" ht="13.8" hidden="false" customHeight="false" outlineLevel="0" collapsed="false"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2"/>
    </row>
    <row r="137" customFormat="false" ht="13.8" hidden="false" customHeight="false" outlineLevel="0" collapsed="false"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2"/>
    </row>
    <row r="138" customFormat="false" ht="13.8" hidden="false" customHeight="false" outlineLevel="0" collapsed="false"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2"/>
    </row>
    <row r="139" customFormat="false" ht="13.8" hidden="false" customHeight="false" outlineLevel="0" collapsed="false"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2"/>
    </row>
    <row r="140" customFormat="false" ht="13.8" hidden="false" customHeight="false" outlineLevel="0" collapsed="false"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2"/>
    </row>
    <row r="141" customFormat="false" ht="13.8" hidden="false" customHeight="false" outlineLevel="0" collapsed="false"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2"/>
    </row>
    <row r="142" customFormat="false" ht="13.8" hidden="false" customHeight="false" outlineLevel="0" collapsed="false"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2"/>
    </row>
    <row r="143" customFormat="false" ht="13.8" hidden="false" customHeight="false" outlineLevel="0" collapsed="false"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2"/>
    </row>
    <row r="144" customFormat="false" ht="13.8" hidden="false" customHeight="false" outlineLevel="0" collapsed="false"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2"/>
    </row>
    <row r="145" customFormat="false" ht="13.8" hidden="false" customHeight="false" outlineLevel="0" collapsed="false"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2"/>
    </row>
    <row r="146" customFormat="false" ht="13.8" hidden="false" customHeight="false" outlineLevel="0" collapsed="false"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2"/>
    </row>
    <row r="147" customFormat="false" ht="13.8" hidden="false" customHeight="false" outlineLevel="0" collapsed="false"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2"/>
    </row>
    <row r="148" customFormat="false" ht="13.8" hidden="false" customHeight="false" outlineLevel="0" collapsed="false"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2"/>
    </row>
    <row r="149" customFormat="false" ht="13.8" hidden="false" customHeight="false" outlineLevel="0" collapsed="false"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2"/>
    </row>
    <row r="150" customFormat="false" ht="13.8" hidden="false" customHeight="false" outlineLevel="0" collapsed="false"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2"/>
    </row>
    <row r="151" customFormat="false" ht="13.8" hidden="false" customHeight="false" outlineLevel="0" collapsed="false"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2"/>
    </row>
    <row r="152" customFormat="false" ht="13.8" hidden="false" customHeight="false" outlineLevel="0" collapsed="false"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2"/>
    </row>
    <row r="153" customFormat="false" ht="13.8" hidden="false" customHeight="false" outlineLevel="0" collapsed="false"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2"/>
    </row>
    <row r="154" customFormat="false" ht="13.8" hidden="false" customHeight="false" outlineLevel="0" collapsed="false"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2"/>
    </row>
    <row r="155" customFormat="false" ht="13.8" hidden="false" customHeight="false" outlineLevel="0" collapsed="false"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2"/>
    </row>
    <row r="156" customFormat="false" ht="13.8" hidden="false" customHeight="false" outlineLevel="0" collapsed="false"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2"/>
    </row>
    <row r="157" customFormat="false" ht="13.8" hidden="false" customHeight="false" outlineLevel="0" collapsed="false"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2"/>
    </row>
    <row r="158" customFormat="false" ht="13.8" hidden="false" customHeight="false" outlineLevel="0" collapsed="false"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2"/>
    </row>
    <row r="159" customFormat="false" ht="13.8" hidden="false" customHeight="false" outlineLevel="0" collapsed="false"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2"/>
    </row>
    <row r="160" customFormat="false" ht="13.8" hidden="false" customHeight="false" outlineLevel="0" collapsed="false"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2"/>
    </row>
    <row r="161" customFormat="false" ht="13.8" hidden="false" customHeight="false" outlineLevel="0" collapsed="false"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2"/>
    </row>
    <row r="162" customFormat="false" ht="13.8" hidden="false" customHeight="false" outlineLevel="0" collapsed="false"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32"/>
    </row>
    <row r="163" customFormat="false" ht="13.8" hidden="false" customHeight="false" outlineLevel="0" collapsed="false"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32"/>
    </row>
    <row r="164" customFormat="false" ht="13.8" hidden="false" customHeight="false" outlineLevel="0" collapsed="false"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32"/>
    </row>
    <row r="165" customFormat="false" ht="13.8" hidden="false" customHeight="false" outlineLevel="0" collapsed="false"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2026-03-05T15:47:08Z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